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заметки\finance\compound_interest\flles\"/>
    </mc:Choice>
  </mc:AlternateContent>
  <xr:revisionPtr revIDLastSave="0" documentId="13_ncr:1_{88AAFEBC-8C80-4E0F-8DF6-444921B5E85E}" xr6:coauthVersionLast="45" xr6:coauthVersionMax="45" xr10:uidLastSave="{00000000-0000-0000-0000-000000000000}"/>
  <bookViews>
    <workbookView xWindow="-28920" yWindow="-120" windowWidth="29040" windowHeight="16440" xr2:uid="{E3602B8B-B2F6-4F86-9251-02EF6EB45A0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0" i="1" l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9" i="1"/>
  <c r="F9" i="1"/>
  <c r="B37" i="1"/>
  <c r="C37" i="1"/>
  <c r="E37" i="1"/>
  <c r="D37" i="1" s="1"/>
  <c r="B38" i="1"/>
  <c r="C38" i="1"/>
  <c r="E38" i="1"/>
  <c r="D38" i="1" s="1"/>
  <c r="B35" i="1"/>
  <c r="C35" i="1"/>
  <c r="E35" i="1"/>
  <c r="D35" i="1" s="1"/>
  <c r="B36" i="1"/>
  <c r="C36" i="1"/>
  <c r="E36" i="1"/>
  <c r="D36" i="1" s="1"/>
  <c r="B24" i="1"/>
  <c r="C24" i="1"/>
  <c r="E24" i="1"/>
  <c r="D24" i="1" s="1"/>
  <c r="B25" i="1"/>
  <c r="C25" i="1"/>
  <c r="E25" i="1"/>
  <c r="D25" i="1" s="1"/>
  <c r="B26" i="1"/>
  <c r="C26" i="1"/>
  <c r="E26" i="1"/>
  <c r="D26" i="1" s="1"/>
  <c r="B27" i="1"/>
  <c r="C27" i="1"/>
  <c r="E27" i="1"/>
  <c r="D27" i="1" s="1"/>
  <c r="F27" i="1"/>
  <c r="G27" i="1" s="1"/>
  <c r="B28" i="1"/>
  <c r="C28" i="1"/>
  <c r="E28" i="1"/>
  <c r="D28" i="1" s="1"/>
  <c r="B29" i="1"/>
  <c r="C29" i="1"/>
  <c r="E29" i="1"/>
  <c r="D29" i="1" s="1"/>
  <c r="F29" i="1"/>
  <c r="G29" i="1" s="1"/>
  <c r="B30" i="1"/>
  <c r="C30" i="1"/>
  <c r="E30" i="1"/>
  <c r="D30" i="1" s="1"/>
  <c r="B31" i="1"/>
  <c r="C31" i="1"/>
  <c r="E31" i="1"/>
  <c r="D31" i="1" s="1"/>
  <c r="B32" i="1"/>
  <c r="C32" i="1"/>
  <c r="E32" i="1"/>
  <c r="D32" i="1" s="1"/>
  <c r="B33" i="1"/>
  <c r="C33" i="1"/>
  <c r="E33" i="1"/>
  <c r="D33" i="1" s="1"/>
  <c r="F33" i="1"/>
  <c r="G33" i="1"/>
  <c r="B34" i="1"/>
  <c r="C34" i="1"/>
  <c r="E34" i="1"/>
  <c r="D34" i="1" s="1"/>
  <c r="B23" i="1"/>
  <c r="C23" i="1"/>
  <c r="E23" i="1"/>
  <c r="D23" i="1" s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9" i="1"/>
  <c r="E9" i="1"/>
  <c r="D9" i="1" s="1"/>
  <c r="C9" i="1"/>
  <c r="B9" i="1"/>
  <c r="B10" i="1"/>
  <c r="C10" i="1"/>
  <c r="E10" i="1"/>
  <c r="D10" i="1" s="1"/>
  <c r="B11" i="1"/>
  <c r="C11" i="1"/>
  <c r="E11" i="1"/>
  <c r="D11" i="1" s="1"/>
  <c r="F11" i="1"/>
  <c r="B12" i="1"/>
  <c r="C12" i="1"/>
  <c r="E12" i="1"/>
  <c r="D12" i="1" s="1"/>
  <c r="B13" i="1"/>
  <c r="C13" i="1"/>
  <c r="E13" i="1"/>
  <c r="D13" i="1" s="1"/>
  <c r="B14" i="1"/>
  <c r="C14" i="1"/>
  <c r="E14" i="1"/>
  <c r="F14" i="1" s="1"/>
  <c r="B15" i="1"/>
  <c r="C15" i="1"/>
  <c r="E15" i="1"/>
  <c r="D15" i="1" s="1"/>
  <c r="B16" i="1"/>
  <c r="C16" i="1"/>
  <c r="E16" i="1"/>
  <c r="D16" i="1" s="1"/>
  <c r="B17" i="1"/>
  <c r="C17" i="1"/>
  <c r="E17" i="1"/>
  <c r="D17" i="1" s="1"/>
  <c r="F17" i="1"/>
  <c r="B18" i="1"/>
  <c r="C18" i="1"/>
  <c r="E18" i="1"/>
  <c r="D18" i="1" s="1"/>
  <c r="F18" i="1"/>
  <c r="B19" i="1"/>
  <c r="C19" i="1"/>
  <c r="D19" i="1"/>
  <c r="E19" i="1"/>
  <c r="F19" i="1"/>
  <c r="B20" i="1"/>
  <c r="C20" i="1"/>
  <c r="E20" i="1"/>
  <c r="F20" i="1" s="1"/>
  <c r="B21" i="1"/>
  <c r="C21" i="1"/>
  <c r="E21" i="1"/>
  <c r="D21" i="1" s="1"/>
  <c r="B22" i="1"/>
  <c r="C22" i="1"/>
  <c r="E22" i="1"/>
  <c r="D22" i="1" s="1"/>
  <c r="B4" i="1"/>
  <c r="F38" i="1" l="1"/>
  <c r="G38" i="1" s="1"/>
  <c r="F37" i="1"/>
  <c r="G37" i="1" s="1"/>
  <c r="F35" i="1"/>
  <c r="G35" i="1" s="1"/>
  <c r="F36" i="1"/>
  <c r="G36" i="1" s="1"/>
  <c r="F25" i="1"/>
  <c r="G25" i="1" s="1"/>
  <c r="F31" i="1"/>
  <c r="G31" i="1" s="1"/>
  <c r="G28" i="1"/>
  <c r="G26" i="1"/>
  <c r="G24" i="1"/>
  <c r="F34" i="1"/>
  <c r="G34" i="1" s="1"/>
  <c r="F32" i="1"/>
  <c r="G32" i="1" s="1"/>
  <c r="F30" i="1"/>
  <c r="G30" i="1" s="1"/>
  <c r="F28" i="1"/>
  <c r="F26" i="1"/>
  <c r="F24" i="1"/>
  <c r="F23" i="1"/>
  <c r="G23" i="1" s="1"/>
  <c r="F21" i="1"/>
  <c r="F16" i="1"/>
  <c r="D14" i="1"/>
  <c r="F13" i="1"/>
  <c r="F15" i="1"/>
  <c r="F10" i="1"/>
  <c r="F22" i="1"/>
  <c r="D20" i="1"/>
  <c r="F12" i="1"/>
</calcChain>
</file>

<file path=xl/sharedStrings.xml><?xml version="1.0" encoding="utf-8"?>
<sst xmlns="http://schemas.openxmlformats.org/spreadsheetml/2006/main" count="12" uniqueCount="11">
  <si>
    <t>Инфляция</t>
  </si>
  <si>
    <t>Ежемесячный взнос</t>
  </si>
  <si>
    <t>Годовая ставка</t>
  </si>
  <si>
    <t>Месячная ставка</t>
  </si>
  <si>
    <t>Год</t>
  </si>
  <si>
    <t>Взносы</t>
  </si>
  <si>
    <t>Проценты на взносы</t>
  </si>
  <si>
    <t>Проценты на проценты</t>
  </si>
  <si>
    <t>Капитал</t>
  </si>
  <si>
    <t>Реальный капитал</t>
  </si>
  <si>
    <t>Взносы (инфл)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</si>
</sst>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  <a:r>
              <a:rPr lang="ru-RU" baseline="0"/>
              <a:t> работы сложного процента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Sheet1!$E$8</c:f>
              <c:strCache>
                <c:ptCount val="1"/>
                <c:pt idx="0">
                  <c:v>Капитал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Sheet1!$E$9:$E$38</c:f>
              <c:numCache>
                <c:formatCode>#,##0</c:formatCode>
                <c:ptCount val="30"/>
                <c:pt idx="0">
                  <c:v>523703.22670698655</c:v>
                </c:pt>
                <c:pt idx="1">
                  <c:v>1137625.226329535</c:v>
                </c:pt>
                <c:pt idx="2">
                  <c:v>1857308.0588957453</c:v>
                </c:pt>
                <c:pt idx="3">
                  <c:v>2700971.2275213473</c:v>
                </c:pt>
                <c:pt idx="4">
                  <c:v>3689972.9236676949</c:v>
                </c:pt>
                <c:pt idx="5">
                  <c:v>4849350.7314885585</c:v>
                </c:pt>
                <c:pt idx="6">
                  <c:v>6208455.4797463473</c:v>
                </c:pt>
                <c:pt idx="7">
                  <c:v>7801694.2879039366</c:v>
                </c:pt>
                <c:pt idx="8">
                  <c:v>9669401.617359858</c:v>
                </c:pt>
                <c:pt idx="9">
                  <c:v>11858860.379375104</c:v>
                </c:pt>
                <c:pt idx="10">
                  <c:v>14425498.950077606</c:v>
                </c:pt>
                <c:pt idx="11">
                  <c:v>17434294.396197055</c:v>
                </c:pt>
                <c:pt idx="12">
                  <c:v>20961417.435617171</c:v>
                </c:pt>
                <c:pt idx="13">
                  <c:v>25096160.776595473</c:v>
                </c:pt>
                <c:pt idx="14">
                  <c:v>29943199.653519683</c:v>
                </c:pt>
                <c:pt idx="15">
                  <c:v>35625241.786963433</c:v>
                </c:pt>
                <c:pt idx="16">
                  <c:v>42286133.854476117</c:v>
                </c:pt>
                <c:pt idx="17">
                  <c:v>50094503.115575433</c:v>
                </c:pt>
                <c:pt idx="18">
                  <c:v>59248026.382384405</c:v>
                </c:pt>
                <c:pt idx="19">
                  <c:v>69978434.409247771</c:v>
                </c:pt>
                <c:pt idx="20">
                  <c:v>82557378.392542347</c:v>
                </c:pt>
                <c:pt idx="21">
                  <c:v>97303307.097092748</c:v>
                </c:pt>
                <c:pt idx="22">
                  <c:v>114589528.71064457</c:v>
                </c:pt>
                <c:pt idx="23">
                  <c:v>134853661.52044281</c:v>
                </c:pt>
                <c:pt idx="24">
                  <c:v>158608712.66540888</c:v>
                </c:pt>
                <c:pt idx="25">
                  <c:v>186456065.43379873</c:v>
                </c:pt>
                <c:pt idx="26">
                  <c:v>219100703.89299563</c:v>
                </c:pt>
                <c:pt idx="27">
                  <c:v>257369060.27843085</c:v>
                </c:pt>
                <c:pt idx="28">
                  <c:v>302229936.96644014</c:v>
                </c:pt>
                <c:pt idx="29">
                  <c:v>354819032.69208592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98-4484-AFD2-4DEE742B175D}"/>
            </c:ext>
          </c:extLst>
        </c:ser>
        <c:ser>
          <c:idx val="4"/>
          <c:order val="4"/>
          <c:tx>
            <c:strRef>
              <c:f>Sheet1!$F$8</c:f>
              <c:strCache>
                <c:ptCount val="1"/>
                <c:pt idx="0">
                  <c:v>Реальный капитал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Sheet1!$F$9:$F$38</c:f>
              <c:numCache>
                <c:formatCode>#,##0</c:formatCode>
                <c:ptCount val="30"/>
                <c:pt idx="0">
                  <c:v>476093.84246089682</c:v>
                </c:pt>
                <c:pt idx="1">
                  <c:v>940186.13746242551</c:v>
                </c:pt>
                <c:pt idx="2">
                  <c:v>1395423.0344821524</c:v>
                </c:pt>
                <c:pt idx="3">
                  <c:v>1844799.6909509914</c:v>
                </c:pt>
                <c:pt idx="4">
                  <c:v>2291182.8698162031</c:v>
                </c:pt>
                <c:pt idx="5">
                  <c:v>2737332.0656125057</c:v>
                </c:pt>
                <c:pt idx="6">
                  <c:v>3185919.3311057533</c:v>
                </c:pt>
                <c:pt idx="7">
                  <c:v>3639547.9634473054</c:v>
                </c:pt>
                <c:pt idx="8">
                  <c:v>4100770.1970093669</c:v>
                </c:pt>
                <c:pt idx="9">
                  <c:v>4572104.0395498192</c:v>
                </c:pt>
                <c:pt idx="10">
                  <c:v>5056049.3789774291</c:v>
                </c:pt>
                <c:pt idx="11">
                  <c:v>5555103.4796633543</c:v>
                </c:pt>
                <c:pt idx="12">
                  <c:v>6071775.9798898399</c:v>
                </c:pt>
                <c:pt idx="13">
                  <c:v>6608603.4955679262</c:v>
                </c:pt>
                <c:pt idx="14">
                  <c:v>7168163.9297261005</c:v>
                </c:pt>
                <c:pt idx="15">
                  <c:v>7753090.5824119393</c:v>
                </c:pt>
                <c:pt idx="16">
                  <c:v>8366086.1515056184</c:v>
                </c:pt>
                <c:pt idx="17">
                  <c:v>9009936.7114707306</c:v>
                </c:pt>
                <c:pt idx="18">
                  <c:v>9687525.7542225644</c:v>
                </c:pt>
                <c:pt idx="19">
                  <c:v>10401848.374040149</c:v>
                </c:pt>
                <c:pt idx="20">
                  <c:v>11156025.676754113</c:v>
                </c:pt>
                <c:pt idx="21">
                  <c:v>11953319.492280373</c:v>
                </c:pt>
                <c:pt idx="22">
                  <c:v>12797147.46891582</c:v>
                </c:pt>
                <c:pt idx="23">
                  <c:v>13691098.627647325</c:v>
                </c:pt>
                <c:pt idx="24">
                  <c:v>14638949.455033055</c:v>
                </c:pt>
                <c:pt idx="25">
                  <c:v>15644680.613982202</c:v>
                </c:pt>
                <c:pt idx="26">
                  <c:v>16712494.352976339</c:v>
                </c:pt>
                <c:pt idx="27">
                  <c:v>17846832.695935942</c:v>
                </c:pt>
                <c:pt idx="28">
                  <c:v>19052396.497034859</c:v>
                </c:pt>
                <c:pt idx="29">
                  <c:v>20334165.447303265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98-4484-AFD2-4DEE742B175D}"/>
            </c:ext>
          </c:extLst>
        </c:ser>
        <c:ser>
          <c:idx val="5"/>
          <c:order val="5"/>
          <c:tx>
            <c:strRef>
              <c:f>Sheet1!$G$8</c:f>
              <c:strCache>
                <c:ptCount val="1"/>
                <c:pt idx="0">
                  <c:v>Инфляция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Sheet1!$G$9:$G$38</c:f>
              <c:numCache>
                <c:formatCode>#,##0</c:formatCode>
                <c:ptCount val="30"/>
                <c:pt idx="0">
                  <c:v>47609.384246089729</c:v>
                </c:pt>
                <c:pt idx="1">
                  <c:v>197439.0888671095</c:v>
                </c:pt>
                <c:pt idx="2">
                  <c:v>461885.02441359288</c:v>
                </c:pt>
                <c:pt idx="3">
                  <c:v>856171.53657035599</c:v>
                </c:pt>
                <c:pt idx="4">
                  <c:v>1398790.0538514918</c:v>
                </c:pt>
                <c:pt idx="5">
                  <c:v>2112018.6658760528</c:v>
                </c:pt>
                <c:pt idx="6">
                  <c:v>3022536.148640594</c:v>
                </c:pt>
                <c:pt idx="7">
                  <c:v>4162146.3244566312</c:v>
                </c:pt>
                <c:pt idx="8">
                  <c:v>5568631.4203504911</c:v>
                </c:pt>
                <c:pt idx="9">
                  <c:v>7286756.3398252847</c:v>
                </c:pt>
                <c:pt idx="10">
                  <c:v>9369449.5711001772</c:v>
                </c:pt>
                <c:pt idx="11">
                  <c:v>11879190.916533701</c:v>
                </c:pt>
                <c:pt idx="12">
                  <c:v>14889641.455727331</c:v>
                </c:pt>
                <c:pt idx="13">
                  <c:v>18487557.281027548</c:v>
                </c:pt>
                <c:pt idx="14">
                  <c:v>22775035.723793581</c:v>
                </c:pt>
                <c:pt idx="15">
                  <c:v>27872151.204551496</c:v>
                </c:pt>
                <c:pt idx="16">
                  <c:v>33920047.702970497</c:v>
                </c:pt>
                <c:pt idx="17">
                  <c:v>41084566.404104702</c:v>
                </c:pt>
                <c:pt idx="18">
                  <c:v>49560500.62816184</c:v>
                </c:pt>
                <c:pt idx="19">
                  <c:v>59576586.035207622</c:v>
                </c:pt>
                <c:pt idx="20">
                  <c:v>71401352.71578823</c:v>
                </c:pt>
                <c:pt idx="21">
                  <c:v>85349987.604812369</c:v>
                </c:pt>
                <c:pt idx="22">
                  <c:v>101792381.24172875</c:v>
                </c:pt>
                <c:pt idx="23">
                  <c:v>121162562.89279549</c:v>
                </c:pt>
                <c:pt idx="24">
                  <c:v>143969763.21037582</c:v>
                </c:pt>
                <c:pt idx="25">
                  <c:v>170811384.81981653</c:v>
                </c:pt>
                <c:pt idx="26">
                  <c:v>202388209.54001927</c:v>
                </c:pt>
                <c:pt idx="27">
                  <c:v>239522227.58249491</c:v>
                </c:pt>
                <c:pt idx="28">
                  <c:v>283177540.46940529</c:v>
                </c:pt>
                <c:pt idx="29">
                  <c:v>334484867.24478269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98-4484-AFD2-4DEE742B175D}"/>
            </c:ext>
          </c:extLst>
        </c:ser>
        <c:ser>
          <c:idx val="6"/>
          <c:order val="6"/>
          <c:tx>
            <c:strRef>
              <c:f>Sheet1!$H$8</c:f>
              <c:strCache>
                <c:ptCount val="1"/>
                <c:pt idx="0">
                  <c:v>Взносы (инфл)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Sheet1!$H$9:$H$38</c:f>
              <c:numCache>
                <c:formatCode>#,##0</c:formatCode>
                <c:ptCount val="30"/>
                <c:pt idx="0">
                  <c:v>436363.63636363635</c:v>
                </c:pt>
                <c:pt idx="1">
                  <c:v>793388.42975206603</c:v>
                </c:pt>
                <c:pt idx="2">
                  <c:v>1081893.3132982717</c:v>
                </c:pt>
                <c:pt idx="3">
                  <c:v>1311385.8343009353</c:v>
                </c:pt>
                <c:pt idx="4">
                  <c:v>1490211.1753419719</c:v>
                </c:pt>
                <c:pt idx="5">
                  <c:v>1625684.9185548783</c:v>
                </c:pt>
                <c:pt idx="6">
                  <c:v>1724211.2772551735</c:v>
                </c:pt>
                <c:pt idx="7">
                  <c:v>1791388.3400053754</c:v>
                </c:pt>
                <c:pt idx="8">
                  <c:v>1832101.7113691338</c:v>
                </c:pt>
                <c:pt idx="9">
                  <c:v>1850607.7892617511</c:v>
                </c:pt>
                <c:pt idx="10">
                  <c:v>1850607.7892617509</c:v>
                </c:pt>
                <c:pt idx="11">
                  <c:v>1835313.5100116536</c:v>
                </c:pt>
                <c:pt idx="12">
                  <c:v>1807505.7295569316</c:v>
                </c:pt>
                <c:pt idx="13">
                  <c:v>1769586.028936856</c:v>
                </c:pt>
                <c:pt idx="14">
                  <c:v>1723622.7554579764</c:v>
                </c:pt>
                <c:pt idx="15">
                  <c:v>1671391.7628683408</c:v>
                </c:pt>
                <c:pt idx="16">
                  <c:v>1614412.4982251017</c:v>
                </c:pt>
                <c:pt idx="17">
                  <c:v>1553979.9448156059</c:v>
                </c:pt>
                <c:pt idx="18">
                  <c:v>1491192.8763382074</c:v>
                </c:pt>
                <c:pt idx="19">
                  <c:v>1426978.8290317776</c:v>
                </c:pt>
                <c:pt idx="20">
                  <c:v>1362116.1549848784</c:v>
                </c:pt>
                <c:pt idx="21">
                  <c:v>1297253.4809379792</c:v>
                </c:pt>
                <c:pt idx="22">
                  <c:v>1232926.8620484925</c:v>
                </c:pt>
                <c:pt idx="23">
                  <c:v>1169574.8888997559</c:v>
                </c:pt>
                <c:pt idx="24">
                  <c:v>1107551.9781247687</c:v>
                </c:pt>
                <c:pt idx="25">
                  <c:v>1047140.0520452358</c:v>
                </c:pt>
                <c:pt idx="26">
                  <c:v>988558.79039235529</c:v>
                </c:pt>
                <c:pt idx="27">
                  <c:v>931974.6172049141</c:v>
                </c:pt>
                <c:pt idx="28">
                  <c:v>877508.56814748398</c:v>
                </c:pt>
                <c:pt idx="29">
                  <c:v>825243.16753681866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98-4484-AFD2-4DEE742B1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609247"/>
        <c:axId val="99211039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Sheet1!$B$8</c15:sqref>
                        </c15:formulaRef>
                      </c:ext>
                    </c:extLst>
                    <c:strCache>
                      <c:ptCount val="1"/>
                      <c:pt idx="0">
                        <c:v>Взносы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Sheet1!$B$9:$B$38</c15:sqref>
                        </c15:formulaRef>
                      </c:ext>
                    </c:extLst>
                    <c:numCache>
                      <c:formatCode>#,##0</c:formatCode>
                      <c:ptCount val="30"/>
                      <c:pt idx="0">
                        <c:v>480000</c:v>
                      </c:pt>
                      <c:pt idx="1">
                        <c:v>960000</c:v>
                      </c:pt>
                      <c:pt idx="2">
                        <c:v>1440000</c:v>
                      </c:pt>
                      <c:pt idx="3">
                        <c:v>1920000</c:v>
                      </c:pt>
                      <c:pt idx="4">
                        <c:v>2400000</c:v>
                      </c:pt>
                      <c:pt idx="5">
                        <c:v>2880000</c:v>
                      </c:pt>
                      <c:pt idx="6">
                        <c:v>3360000</c:v>
                      </c:pt>
                      <c:pt idx="7">
                        <c:v>3840000</c:v>
                      </c:pt>
                      <c:pt idx="8">
                        <c:v>4320000</c:v>
                      </c:pt>
                      <c:pt idx="9">
                        <c:v>4800000</c:v>
                      </c:pt>
                      <c:pt idx="10">
                        <c:v>5280000</c:v>
                      </c:pt>
                      <c:pt idx="11">
                        <c:v>5760000</c:v>
                      </c:pt>
                      <c:pt idx="12">
                        <c:v>6240000</c:v>
                      </c:pt>
                      <c:pt idx="13">
                        <c:v>6720000</c:v>
                      </c:pt>
                      <c:pt idx="14">
                        <c:v>7200000</c:v>
                      </c:pt>
                      <c:pt idx="15">
                        <c:v>7680000</c:v>
                      </c:pt>
                      <c:pt idx="16">
                        <c:v>8160000</c:v>
                      </c:pt>
                      <c:pt idx="17">
                        <c:v>8640000</c:v>
                      </c:pt>
                      <c:pt idx="18">
                        <c:v>9120000</c:v>
                      </c:pt>
                      <c:pt idx="19">
                        <c:v>9600000</c:v>
                      </c:pt>
                      <c:pt idx="20">
                        <c:v>10080000</c:v>
                      </c:pt>
                      <c:pt idx="21">
                        <c:v>10560000</c:v>
                      </c:pt>
                      <c:pt idx="22">
                        <c:v>11040000</c:v>
                      </c:pt>
                      <c:pt idx="23">
                        <c:v>11520000</c:v>
                      </c:pt>
                      <c:pt idx="24">
                        <c:v>12000000</c:v>
                      </c:pt>
                      <c:pt idx="25">
                        <c:v>12480000</c:v>
                      </c:pt>
                      <c:pt idx="26">
                        <c:v>12960000</c:v>
                      </c:pt>
                      <c:pt idx="27">
                        <c:v>13440000</c:v>
                      </c:pt>
                      <c:pt idx="28">
                        <c:v>13920000</c:v>
                      </c:pt>
                      <c:pt idx="29">
                        <c:v>14400000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298-4484-AFD2-4DEE742B175D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Sheet1!$C$8</c15:sqref>
                        </c15:formulaRef>
                      </c:ext>
                    </c:extLst>
                    <c:strCache>
                      <c:ptCount val="1"/>
                      <c:pt idx="0">
                        <c:v>Проценты на взносы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Sheet1!$C$9:$C$38</c15:sqref>
                        </c15:formulaRef>
                      </c:ext>
                    </c:extLst>
                    <c:numCache>
                      <c:formatCode>#,##0</c:formatCode>
                      <c:ptCount val="30"/>
                      <c:pt idx="0">
                        <c:v>41600</c:v>
                      </c:pt>
                      <c:pt idx="1">
                        <c:v>160000</c:v>
                      </c:pt>
                      <c:pt idx="2">
                        <c:v>355200</c:v>
                      </c:pt>
                      <c:pt idx="3">
                        <c:v>627200</c:v>
                      </c:pt>
                      <c:pt idx="4">
                        <c:v>976000.00000000012</c:v>
                      </c:pt>
                      <c:pt idx="5">
                        <c:v>1401600</c:v>
                      </c:pt>
                      <c:pt idx="6">
                        <c:v>1904000.0000000002</c:v>
                      </c:pt>
                      <c:pt idx="7">
                        <c:v>2483200</c:v>
                      </c:pt>
                      <c:pt idx="8">
                        <c:v>3139200</c:v>
                      </c:pt>
                      <c:pt idx="9">
                        <c:v>3872000.0000000005</c:v>
                      </c:pt>
                      <c:pt idx="10">
                        <c:v>4681600</c:v>
                      </c:pt>
                      <c:pt idx="11">
                        <c:v>5568000</c:v>
                      </c:pt>
                      <c:pt idx="12">
                        <c:v>6531200</c:v>
                      </c:pt>
                      <c:pt idx="13">
                        <c:v>7571200.0000000009</c:v>
                      </c:pt>
                      <c:pt idx="14">
                        <c:v>8688000</c:v>
                      </c:pt>
                      <c:pt idx="15">
                        <c:v>9881600</c:v>
                      </c:pt>
                      <c:pt idx="16">
                        <c:v>11152000</c:v>
                      </c:pt>
                      <c:pt idx="17">
                        <c:v>12499200</c:v>
                      </c:pt>
                      <c:pt idx="18">
                        <c:v>13923200.000000002</c:v>
                      </c:pt>
                      <c:pt idx="19">
                        <c:v>15424000.000000002</c:v>
                      </c:pt>
                      <c:pt idx="20">
                        <c:v>17001600</c:v>
                      </c:pt>
                      <c:pt idx="21">
                        <c:v>18656000</c:v>
                      </c:pt>
                      <c:pt idx="22">
                        <c:v>20387200</c:v>
                      </c:pt>
                      <c:pt idx="23">
                        <c:v>22195200</c:v>
                      </c:pt>
                      <c:pt idx="24">
                        <c:v>24080000</c:v>
                      </c:pt>
                      <c:pt idx="25">
                        <c:v>26041600</c:v>
                      </c:pt>
                      <c:pt idx="26">
                        <c:v>28080000.000000004</c:v>
                      </c:pt>
                      <c:pt idx="27">
                        <c:v>30195200.000000004</c:v>
                      </c:pt>
                      <c:pt idx="28">
                        <c:v>32387200.000000004</c:v>
                      </c:pt>
                      <c:pt idx="29">
                        <c:v>34656000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298-4484-AFD2-4DEE742B175D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Sheet1!$D$8</c15:sqref>
                        </c15:formulaRef>
                      </c:ext>
                    </c:extLst>
                    <c:strCache>
                      <c:ptCount val="1"/>
                      <c:pt idx="0">
                        <c:v>Проценты на проценты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Sheet1!$D$9:$D$38</c15:sqref>
                        </c15:formulaRef>
                      </c:ext>
                    </c:extLst>
                    <c:numCache>
                      <c:formatCode>#,##0</c:formatCode>
                      <c:ptCount val="30"/>
                      <c:pt idx="0">
                        <c:v>2103.2267069865484</c:v>
                      </c:pt>
                      <c:pt idx="1">
                        <c:v>17625.226329535013</c:v>
                      </c:pt>
                      <c:pt idx="2">
                        <c:v>62108.058895745315</c:v>
                      </c:pt>
                      <c:pt idx="3">
                        <c:v>153771.22752134735</c:v>
                      </c:pt>
                      <c:pt idx="4">
                        <c:v>313972.92366769479</c:v>
                      </c:pt>
                      <c:pt idx="5">
                        <c:v>567750.73148855846</c:v>
                      </c:pt>
                      <c:pt idx="6">
                        <c:v>944455.47974634706</c:v>
                      </c:pt>
                      <c:pt idx="7">
                        <c:v>1478494.2879039366</c:v>
                      </c:pt>
                      <c:pt idx="8">
                        <c:v>2210201.617359858</c:v>
                      </c:pt>
                      <c:pt idx="9">
                        <c:v>3186860.3793751034</c:v>
                      </c:pt>
                      <c:pt idx="10">
                        <c:v>4463898.9500776064</c:v>
                      </c:pt>
                      <c:pt idx="11">
                        <c:v>6106294.3961970545</c:v>
                      </c:pt>
                      <c:pt idx="12">
                        <c:v>8190217.4356171712</c:v>
                      </c:pt>
                      <c:pt idx="13">
                        <c:v>10804960.776595473</c:v>
                      </c:pt>
                      <c:pt idx="14">
                        <c:v>14055199.653519683</c:v>
                      </c:pt>
                      <c:pt idx="15">
                        <c:v>18063641.786963433</c:v>
                      </c:pt>
                      <c:pt idx="16">
                        <c:v>22974133.854476117</c:v>
                      </c:pt>
                      <c:pt idx="17">
                        <c:v>28955303.115575433</c:v>
                      </c:pt>
                      <c:pt idx="18">
                        <c:v>36204826.382384405</c:v>
                      </c:pt>
                      <c:pt idx="19">
                        <c:v>44954434.409247771</c:v>
                      </c:pt>
                      <c:pt idx="20">
                        <c:v>55475778.392542347</c:v>
                      </c:pt>
                      <c:pt idx="21">
                        <c:v>68087307.097092748</c:v>
                      </c:pt>
                      <c:pt idx="22">
                        <c:v>83162328.710644573</c:v>
                      </c:pt>
                      <c:pt idx="23">
                        <c:v>101138461.52044281</c:v>
                      </c:pt>
                      <c:pt idx="24">
                        <c:v>122528712.66540888</c:v>
                      </c:pt>
                      <c:pt idx="25">
                        <c:v>147934465.43379873</c:v>
                      </c:pt>
                      <c:pt idx="26">
                        <c:v>178060703.89299563</c:v>
                      </c:pt>
                      <c:pt idx="27">
                        <c:v>213733860.27843085</c:v>
                      </c:pt>
                      <c:pt idx="28">
                        <c:v>255922736.96644014</c:v>
                      </c:pt>
                      <c:pt idx="29">
                        <c:v>305763032.69208592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298-4484-AFD2-4DEE742B175D}"/>
                  </c:ext>
                </c:extLst>
              </c15:ser>
            </c15:filteredLineSeries>
          </c:ext>
        </c:extLst>
      </c:lineChart>
      <c:catAx>
        <c:axId val="9306092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92110399"/>
        <c:crosses val="autoZero"/>
        <c:auto val="1"/>
        <c:lblAlgn val="ctr"/>
        <c:lblOffset val="100"/>
        <c:noMultiLvlLbl val="0"/>
      </c:catAx>
      <c:valAx>
        <c:axId val="992110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93060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161925</xdr:colOff>
      <xdr:row>3</xdr:row>
      <xdr:rowOff>342899</xdr:rowOff>
    </xdr:from>
    <xdr:to>
      <xdr:col>18</xdr:col>
      <xdr:colOff>390524</xdr:colOff>
      <xdr:row>26</xdr:row>
      <xdr:rowOff>95250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CAE4950-ECBE-4F8A-AE5D-2413D84A3D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4C34C-30D3-40E0-BD01-BE91DE1D5EED}">
  <dimension ref="A1:I50"/>
  <sheetViews>
    <sheetView tabSelected="1" topLeftCell="A2" zoomScaleNormal="100" workbookViewId="0">
      <selection activeCell="K2" sqref="K2"/>
    </sheetView>
  </sheetViews>
  <sheetFormatPr defaultRowHeight="15" x14ac:dyDescent="0.25"/>
  <cols>
    <col min="2" max="2" width="18.5703125" customWidth="1"/>
    <col min="3" max="3" width="20.42578125" customWidth="1"/>
    <col min="4" max="4" width="23.28515625" customWidth="1"/>
    <col min="5" max="5" width="17.7109375" customWidth="1"/>
    <col min="6" max="6" width="27.140625" customWidth="1"/>
    <col min="7" max="7" width="19" customWidth="1"/>
    <col min="8" max="8" width="22.5703125" customWidth="1"/>
    <col min="9" max="9" width="20.85546875" customWidth="1"/>
  </cols>
  <sheetData>
    <row r="1" spans="1:9" ht="45" x14ac:dyDescent="0.25">
      <c r="A1" s="3" t="s">
        <v>1</v>
      </c>
      <c r="B1" s="5">
        <v>40000</v>
      </c>
    </row>
    <row r="2" spans="1:9" ht="30" x14ac:dyDescent="0.25">
      <c r="A2" s="3" t="s">
        <v>2</v>
      </c>
      <c r="B2" s="4">
        <v>0.16</v>
      </c>
    </row>
    <row r="3" spans="1:9" ht="30" x14ac:dyDescent="0.25">
      <c r="A3" s="3" t="s">
        <v>0</v>
      </c>
      <c r="B3" s="4">
        <v>0.1</v>
      </c>
      <c r="I3" s="1"/>
    </row>
    <row r="4" spans="1:9" ht="30" x14ac:dyDescent="0.25">
      <c r="A4" s="3" t="s">
        <v>3</v>
      </c>
      <c r="B4" s="4">
        <f>B2/12</f>
        <v>1.3333333333333334E-2</v>
      </c>
      <c r="C4" s="1"/>
      <c r="D4" s="1"/>
      <c r="E4" s="1"/>
    </row>
    <row r="5" spans="1:9" x14ac:dyDescent="0.25">
      <c r="C5" s="1"/>
      <c r="D5" s="1"/>
      <c r="E5" s="1"/>
    </row>
    <row r="6" spans="1:9" x14ac:dyDescent="0.25">
      <c r="C6" s="1"/>
      <c r="D6" s="1"/>
      <c r="E6" s="1"/>
    </row>
    <row r="7" spans="1:9" x14ac:dyDescent="0.25">
      <c r="A7" s="3"/>
      <c r="C7" s="1"/>
      <c r="D7" s="1"/>
      <c r="E7" s="1"/>
      <c r="G7" s="1"/>
      <c r="H7" s="1"/>
      <c r="I7" s="1"/>
    </row>
    <row r="8" spans="1:9" x14ac:dyDescent="0.25">
      <c r="A8" s="2" t="s">
        <v>4</v>
      </c>
      <c r="B8" t="s">
        <v>5</v>
      </c>
      <c r="C8" t="s">
        <v>6</v>
      </c>
      <c r="D8" t="s">
        <v>7</v>
      </c>
      <c r="E8" t="s">
        <v>8</v>
      </c>
      <c r="F8" s="1" t="s">
        <v>9</v>
      </c>
      <c r="G8" s="1" t="s">
        <v>0</v>
      </c>
      <c r="H8" s="1" t="s">
        <v>10</v>
      </c>
      <c r="I8" s="1"/>
    </row>
    <row r="9" spans="1:9" x14ac:dyDescent="0.25">
      <c r="A9">
        <v>1</v>
      </c>
      <c r="B9" s="1">
        <f>$B$1*12*A9</f>
        <v>480000</v>
      </c>
      <c r="C9" s="1">
        <f>$B$1*$B$4*(A9*12*(A9*12+1)/2)</f>
        <v>41600</v>
      </c>
      <c r="D9" s="1">
        <f>E9-B9-C9</f>
        <v>2103.2267069865484</v>
      </c>
      <c r="E9" s="1">
        <f>FV($B$4,A9*12,-$B$1,0,1)</f>
        <v>523703.22670698655</v>
      </c>
      <c r="F9" s="1">
        <f>E9/(1+$B$3)^A9</f>
        <v>476093.84246089682</v>
      </c>
      <c r="G9" s="1">
        <f>E9-F9</f>
        <v>47609.384246089729</v>
      </c>
      <c r="H9" s="1">
        <f>B9/(1+$B$3)^A9</f>
        <v>436363.63636363635</v>
      </c>
      <c r="I9" s="1"/>
    </row>
    <row r="10" spans="1:9" x14ac:dyDescent="0.25">
      <c r="A10">
        <v>2</v>
      </c>
      <c r="B10" s="1">
        <f t="shared" ref="B10:B38" si="0">$B$1*12*A10</f>
        <v>960000</v>
      </c>
      <c r="C10" s="1">
        <f t="shared" ref="C10:C22" si="1">$B$1*$B$4*(A10*12*(A10*12+1)/2)</f>
        <v>160000</v>
      </c>
      <c r="D10" s="1">
        <f t="shared" ref="D10:D22" si="2">E10-B10-C10</f>
        <v>17625.226329535013</v>
      </c>
      <c r="E10" s="1">
        <f t="shared" ref="E10:E22" si="3">FV($B$4,A10*12,-$B$1,0,1)</f>
        <v>1137625.226329535</v>
      </c>
      <c r="F10" s="1">
        <f t="shared" ref="F10:F22" si="4">E10/(1+$B$3)^A10</f>
        <v>940186.13746242551</v>
      </c>
      <c r="G10" s="1">
        <f t="shared" ref="G10:G22" si="5">E10-F10</f>
        <v>197439.0888671095</v>
      </c>
      <c r="H10" s="1">
        <f t="shared" ref="H10:H38" si="6">B10/(1+$B$3)^A10</f>
        <v>793388.42975206603</v>
      </c>
      <c r="I10" s="1"/>
    </row>
    <row r="11" spans="1:9" x14ac:dyDescent="0.25">
      <c r="A11">
        <v>3</v>
      </c>
      <c r="B11" s="1">
        <f t="shared" si="0"/>
        <v>1440000</v>
      </c>
      <c r="C11" s="1">
        <f t="shared" si="1"/>
        <v>355200</v>
      </c>
      <c r="D11" s="1">
        <f t="shared" si="2"/>
        <v>62108.058895745315</v>
      </c>
      <c r="E11" s="1">
        <f t="shared" si="3"/>
        <v>1857308.0588957453</v>
      </c>
      <c r="F11" s="1">
        <f t="shared" si="4"/>
        <v>1395423.0344821524</v>
      </c>
      <c r="G11" s="1">
        <f t="shared" si="5"/>
        <v>461885.02441359288</v>
      </c>
      <c r="H11" s="1">
        <f t="shared" si="6"/>
        <v>1081893.3132982717</v>
      </c>
      <c r="I11" s="1"/>
    </row>
    <row r="12" spans="1:9" x14ac:dyDescent="0.25">
      <c r="A12">
        <v>4</v>
      </c>
      <c r="B12" s="1">
        <f t="shared" si="0"/>
        <v>1920000</v>
      </c>
      <c r="C12" s="1">
        <f t="shared" si="1"/>
        <v>627200</v>
      </c>
      <c r="D12" s="1">
        <f t="shared" si="2"/>
        <v>153771.22752134735</v>
      </c>
      <c r="E12" s="1">
        <f t="shared" si="3"/>
        <v>2700971.2275213473</v>
      </c>
      <c r="F12" s="1">
        <f t="shared" si="4"/>
        <v>1844799.6909509914</v>
      </c>
      <c r="G12" s="1">
        <f t="shared" si="5"/>
        <v>856171.53657035599</v>
      </c>
      <c r="H12" s="1">
        <f t="shared" si="6"/>
        <v>1311385.8343009353</v>
      </c>
      <c r="I12" s="1"/>
    </row>
    <row r="13" spans="1:9" x14ac:dyDescent="0.25">
      <c r="A13">
        <v>5</v>
      </c>
      <c r="B13" s="1">
        <f t="shared" si="0"/>
        <v>2400000</v>
      </c>
      <c r="C13" s="1">
        <f t="shared" si="1"/>
        <v>976000.00000000012</v>
      </c>
      <c r="D13" s="1">
        <f t="shared" si="2"/>
        <v>313972.92366769479</v>
      </c>
      <c r="E13" s="1">
        <f t="shared" si="3"/>
        <v>3689972.9236676949</v>
      </c>
      <c r="F13" s="1">
        <f t="shared" si="4"/>
        <v>2291182.8698162031</v>
      </c>
      <c r="G13" s="1">
        <f t="shared" si="5"/>
        <v>1398790.0538514918</v>
      </c>
      <c r="H13" s="1">
        <f t="shared" si="6"/>
        <v>1490211.1753419719</v>
      </c>
      <c r="I13" s="1"/>
    </row>
    <row r="14" spans="1:9" x14ac:dyDescent="0.25">
      <c r="A14">
        <v>6</v>
      </c>
      <c r="B14" s="1">
        <f t="shared" si="0"/>
        <v>2880000</v>
      </c>
      <c r="C14" s="1">
        <f t="shared" si="1"/>
        <v>1401600</v>
      </c>
      <c r="D14" s="1">
        <f t="shared" si="2"/>
        <v>567750.73148855846</v>
      </c>
      <c r="E14" s="1">
        <f t="shared" si="3"/>
        <v>4849350.7314885585</v>
      </c>
      <c r="F14" s="1">
        <f t="shared" si="4"/>
        <v>2737332.0656125057</v>
      </c>
      <c r="G14" s="1">
        <f t="shared" si="5"/>
        <v>2112018.6658760528</v>
      </c>
      <c r="H14" s="1">
        <f t="shared" si="6"/>
        <v>1625684.9185548783</v>
      </c>
      <c r="I14" s="1"/>
    </row>
    <row r="15" spans="1:9" x14ac:dyDescent="0.25">
      <c r="A15">
        <v>7</v>
      </c>
      <c r="B15" s="1">
        <f t="shared" si="0"/>
        <v>3360000</v>
      </c>
      <c r="C15" s="1">
        <f t="shared" si="1"/>
        <v>1904000.0000000002</v>
      </c>
      <c r="D15" s="1">
        <f t="shared" si="2"/>
        <v>944455.47974634706</v>
      </c>
      <c r="E15" s="1">
        <f t="shared" si="3"/>
        <v>6208455.4797463473</v>
      </c>
      <c r="F15" s="1">
        <f t="shared" si="4"/>
        <v>3185919.3311057533</v>
      </c>
      <c r="G15" s="1">
        <f t="shared" si="5"/>
        <v>3022536.148640594</v>
      </c>
      <c r="H15" s="1">
        <f t="shared" si="6"/>
        <v>1724211.2772551735</v>
      </c>
      <c r="I15" s="1"/>
    </row>
    <row r="16" spans="1:9" x14ac:dyDescent="0.25">
      <c r="A16">
        <v>8</v>
      </c>
      <c r="B16" s="1">
        <f t="shared" si="0"/>
        <v>3840000</v>
      </c>
      <c r="C16" s="1">
        <f t="shared" si="1"/>
        <v>2483200</v>
      </c>
      <c r="D16" s="1">
        <f t="shared" si="2"/>
        <v>1478494.2879039366</v>
      </c>
      <c r="E16" s="1">
        <f t="shared" si="3"/>
        <v>7801694.2879039366</v>
      </c>
      <c r="F16" s="1">
        <f t="shared" si="4"/>
        <v>3639547.9634473054</v>
      </c>
      <c r="G16" s="1">
        <f t="shared" si="5"/>
        <v>4162146.3244566312</v>
      </c>
      <c r="H16" s="1">
        <f t="shared" si="6"/>
        <v>1791388.3400053754</v>
      </c>
      <c r="I16" s="1"/>
    </row>
    <row r="17" spans="1:9" x14ac:dyDescent="0.25">
      <c r="A17">
        <v>9</v>
      </c>
      <c r="B17" s="1">
        <f t="shared" si="0"/>
        <v>4320000</v>
      </c>
      <c r="C17" s="1">
        <f t="shared" si="1"/>
        <v>3139200</v>
      </c>
      <c r="D17" s="1">
        <f t="shared" si="2"/>
        <v>2210201.617359858</v>
      </c>
      <c r="E17" s="1">
        <f t="shared" si="3"/>
        <v>9669401.617359858</v>
      </c>
      <c r="F17" s="1">
        <f t="shared" si="4"/>
        <v>4100770.1970093669</v>
      </c>
      <c r="G17" s="1">
        <f t="shared" si="5"/>
        <v>5568631.4203504911</v>
      </c>
      <c r="H17" s="1">
        <f t="shared" si="6"/>
        <v>1832101.7113691338</v>
      </c>
      <c r="I17" s="1"/>
    </row>
    <row r="18" spans="1:9" x14ac:dyDescent="0.25">
      <c r="A18">
        <v>10</v>
      </c>
      <c r="B18" s="1">
        <f t="shared" si="0"/>
        <v>4800000</v>
      </c>
      <c r="C18" s="1">
        <f t="shared" si="1"/>
        <v>3872000.0000000005</v>
      </c>
      <c r="D18" s="1">
        <f t="shared" si="2"/>
        <v>3186860.3793751034</v>
      </c>
      <c r="E18" s="1">
        <f t="shared" si="3"/>
        <v>11858860.379375104</v>
      </c>
      <c r="F18" s="1">
        <f t="shared" si="4"/>
        <v>4572104.0395498192</v>
      </c>
      <c r="G18" s="1">
        <f t="shared" si="5"/>
        <v>7286756.3398252847</v>
      </c>
      <c r="H18" s="1">
        <f t="shared" si="6"/>
        <v>1850607.7892617511</v>
      </c>
      <c r="I18" s="1"/>
    </row>
    <row r="19" spans="1:9" x14ac:dyDescent="0.25">
      <c r="A19">
        <v>11</v>
      </c>
      <c r="B19" s="1">
        <f t="shared" si="0"/>
        <v>5280000</v>
      </c>
      <c r="C19" s="1">
        <f t="shared" si="1"/>
        <v>4681600</v>
      </c>
      <c r="D19" s="1">
        <f t="shared" si="2"/>
        <v>4463898.9500776064</v>
      </c>
      <c r="E19" s="1">
        <f t="shared" si="3"/>
        <v>14425498.950077606</v>
      </c>
      <c r="F19" s="1">
        <f t="shared" si="4"/>
        <v>5056049.3789774291</v>
      </c>
      <c r="G19" s="1">
        <f t="shared" si="5"/>
        <v>9369449.5711001772</v>
      </c>
      <c r="H19" s="1">
        <f t="shared" si="6"/>
        <v>1850607.7892617509</v>
      </c>
      <c r="I19" s="1"/>
    </row>
    <row r="20" spans="1:9" x14ac:dyDescent="0.25">
      <c r="A20">
        <v>12</v>
      </c>
      <c r="B20" s="1">
        <f t="shared" si="0"/>
        <v>5760000</v>
      </c>
      <c r="C20" s="1">
        <f t="shared" si="1"/>
        <v>5568000</v>
      </c>
      <c r="D20" s="1">
        <f t="shared" si="2"/>
        <v>6106294.3961970545</v>
      </c>
      <c r="E20" s="1">
        <f t="shared" si="3"/>
        <v>17434294.396197055</v>
      </c>
      <c r="F20" s="1">
        <f t="shared" si="4"/>
        <v>5555103.4796633543</v>
      </c>
      <c r="G20" s="1">
        <f t="shared" si="5"/>
        <v>11879190.916533701</v>
      </c>
      <c r="H20" s="1">
        <f t="shared" si="6"/>
        <v>1835313.5100116536</v>
      </c>
      <c r="I20" s="1"/>
    </row>
    <row r="21" spans="1:9" x14ac:dyDescent="0.25">
      <c r="A21">
        <v>13</v>
      </c>
      <c r="B21" s="1">
        <f t="shared" si="0"/>
        <v>6240000</v>
      </c>
      <c r="C21" s="1">
        <f t="shared" si="1"/>
        <v>6531200</v>
      </c>
      <c r="D21" s="1">
        <f t="shared" si="2"/>
        <v>8190217.4356171712</v>
      </c>
      <c r="E21" s="1">
        <f t="shared" si="3"/>
        <v>20961417.435617171</v>
      </c>
      <c r="F21" s="1">
        <f t="shared" si="4"/>
        <v>6071775.9798898399</v>
      </c>
      <c r="G21" s="1">
        <f t="shared" si="5"/>
        <v>14889641.455727331</v>
      </c>
      <c r="H21" s="1">
        <f t="shared" si="6"/>
        <v>1807505.7295569316</v>
      </c>
      <c r="I21" s="1"/>
    </row>
    <row r="22" spans="1:9" x14ac:dyDescent="0.25">
      <c r="A22">
        <v>14</v>
      </c>
      <c r="B22" s="1">
        <f t="shared" si="0"/>
        <v>6720000</v>
      </c>
      <c r="C22" s="1">
        <f t="shared" si="1"/>
        <v>7571200.0000000009</v>
      </c>
      <c r="D22" s="1">
        <f t="shared" si="2"/>
        <v>10804960.776595473</v>
      </c>
      <c r="E22" s="1">
        <f t="shared" si="3"/>
        <v>25096160.776595473</v>
      </c>
      <c r="F22" s="1">
        <f t="shared" si="4"/>
        <v>6608603.4955679262</v>
      </c>
      <c r="G22" s="1">
        <f t="shared" si="5"/>
        <v>18487557.281027548</v>
      </c>
      <c r="H22" s="1">
        <f t="shared" si="6"/>
        <v>1769586.028936856</v>
      </c>
      <c r="I22" s="1"/>
    </row>
    <row r="23" spans="1:9" x14ac:dyDescent="0.25">
      <c r="A23">
        <v>15</v>
      </c>
      <c r="B23" s="1">
        <f t="shared" si="0"/>
        <v>7200000</v>
      </c>
      <c r="C23" s="1">
        <f t="shared" ref="C23" si="7">$B$1*$B$4*(A23*12*(A23*12+1)/2)</f>
        <v>8688000</v>
      </c>
      <c r="D23" s="1">
        <f t="shared" ref="D23" si="8">E23-B23-C23</f>
        <v>14055199.653519683</v>
      </c>
      <c r="E23" s="1">
        <f t="shared" ref="E23" si="9">FV($B$4,A23*12,-$B$1,0,1)</f>
        <v>29943199.653519683</v>
      </c>
      <c r="F23" s="1">
        <f t="shared" ref="F23" si="10">E23/(1+$B$3)^A23</f>
        <v>7168163.9297261005</v>
      </c>
      <c r="G23" s="1">
        <f t="shared" ref="G23" si="11">E23-F23</f>
        <v>22775035.723793581</v>
      </c>
      <c r="H23" s="1">
        <f t="shared" si="6"/>
        <v>1723622.7554579764</v>
      </c>
      <c r="I23" s="1"/>
    </row>
    <row r="24" spans="1:9" x14ac:dyDescent="0.25">
      <c r="A24">
        <v>16</v>
      </c>
      <c r="B24" s="1">
        <f t="shared" si="0"/>
        <v>7680000</v>
      </c>
      <c r="C24" s="1">
        <f t="shared" ref="C24:C35" si="12">$B$1*$B$4*(A24*12*(A24*12+1)/2)</f>
        <v>9881600</v>
      </c>
      <c r="D24" s="1">
        <f t="shared" ref="D24:D35" si="13">E24-B24-C24</f>
        <v>18063641.786963433</v>
      </c>
      <c r="E24" s="1">
        <f t="shared" ref="E24:E35" si="14">FV($B$4,A24*12,-$B$1,0,1)</f>
        <v>35625241.786963433</v>
      </c>
      <c r="F24" s="1">
        <f t="shared" ref="F24:F35" si="15">E24/(1+$B$3)^A24</f>
        <v>7753090.5824119393</v>
      </c>
      <c r="G24" s="1">
        <f t="shared" ref="G24:G35" si="16">E24-F24</f>
        <v>27872151.204551496</v>
      </c>
      <c r="H24" s="1">
        <f t="shared" si="6"/>
        <v>1671391.7628683408</v>
      </c>
      <c r="I24" s="1"/>
    </row>
    <row r="25" spans="1:9" x14ac:dyDescent="0.25">
      <c r="A25">
        <v>17</v>
      </c>
      <c r="B25" s="1">
        <f t="shared" si="0"/>
        <v>8160000</v>
      </c>
      <c r="C25" s="1">
        <f t="shared" si="12"/>
        <v>11152000</v>
      </c>
      <c r="D25" s="1">
        <f t="shared" si="13"/>
        <v>22974133.854476117</v>
      </c>
      <c r="E25" s="1">
        <f t="shared" si="14"/>
        <v>42286133.854476117</v>
      </c>
      <c r="F25" s="1">
        <f t="shared" si="15"/>
        <v>8366086.1515056184</v>
      </c>
      <c r="G25" s="1">
        <f t="shared" si="16"/>
        <v>33920047.702970497</v>
      </c>
      <c r="H25" s="1">
        <f t="shared" si="6"/>
        <v>1614412.4982251017</v>
      </c>
      <c r="I25" s="1"/>
    </row>
    <row r="26" spans="1:9" x14ac:dyDescent="0.25">
      <c r="A26">
        <v>18</v>
      </c>
      <c r="B26" s="1">
        <f t="shared" si="0"/>
        <v>8640000</v>
      </c>
      <c r="C26" s="1">
        <f t="shared" si="12"/>
        <v>12499200</v>
      </c>
      <c r="D26" s="1">
        <f t="shared" si="13"/>
        <v>28955303.115575433</v>
      </c>
      <c r="E26" s="1">
        <f t="shared" si="14"/>
        <v>50094503.115575433</v>
      </c>
      <c r="F26" s="1">
        <f t="shared" si="15"/>
        <v>9009936.7114707306</v>
      </c>
      <c r="G26" s="1">
        <f t="shared" si="16"/>
        <v>41084566.404104702</v>
      </c>
      <c r="H26" s="1">
        <f t="shared" si="6"/>
        <v>1553979.9448156059</v>
      </c>
      <c r="I26" s="1"/>
    </row>
    <row r="27" spans="1:9" x14ac:dyDescent="0.25">
      <c r="A27">
        <v>19</v>
      </c>
      <c r="B27" s="1">
        <f t="shared" si="0"/>
        <v>9120000</v>
      </c>
      <c r="C27" s="1">
        <f t="shared" si="12"/>
        <v>13923200.000000002</v>
      </c>
      <c r="D27" s="1">
        <f t="shared" si="13"/>
        <v>36204826.382384405</v>
      </c>
      <c r="E27" s="1">
        <f t="shared" si="14"/>
        <v>59248026.382384405</v>
      </c>
      <c r="F27" s="1">
        <f t="shared" si="15"/>
        <v>9687525.7542225644</v>
      </c>
      <c r="G27" s="1">
        <f t="shared" si="16"/>
        <v>49560500.62816184</v>
      </c>
      <c r="H27" s="1">
        <f t="shared" si="6"/>
        <v>1491192.8763382074</v>
      </c>
      <c r="I27" s="1"/>
    </row>
    <row r="28" spans="1:9" x14ac:dyDescent="0.25">
      <c r="A28">
        <v>20</v>
      </c>
      <c r="B28" s="1">
        <f t="shared" si="0"/>
        <v>9600000</v>
      </c>
      <c r="C28" s="1">
        <f t="shared" si="12"/>
        <v>15424000.000000002</v>
      </c>
      <c r="D28" s="1">
        <f t="shared" si="13"/>
        <v>44954434.409247771</v>
      </c>
      <c r="E28" s="1">
        <f t="shared" si="14"/>
        <v>69978434.409247771</v>
      </c>
      <c r="F28" s="1">
        <f t="shared" si="15"/>
        <v>10401848.374040149</v>
      </c>
      <c r="G28" s="1">
        <f t="shared" si="16"/>
        <v>59576586.035207622</v>
      </c>
      <c r="H28" s="1">
        <f t="shared" si="6"/>
        <v>1426978.8290317776</v>
      </c>
      <c r="I28" s="1"/>
    </row>
    <row r="29" spans="1:9" x14ac:dyDescent="0.25">
      <c r="A29">
        <v>21</v>
      </c>
      <c r="B29" s="1">
        <f t="shared" si="0"/>
        <v>10080000</v>
      </c>
      <c r="C29" s="1">
        <f t="shared" si="12"/>
        <v>17001600</v>
      </c>
      <c r="D29" s="1">
        <f t="shared" si="13"/>
        <v>55475778.392542347</v>
      </c>
      <c r="E29" s="1">
        <f t="shared" si="14"/>
        <v>82557378.392542347</v>
      </c>
      <c r="F29" s="1">
        <f t="shared" si="15"/>
        <v>11156025.676754113</v>
      </c>
      <c r="G29" s="1">
        <f t="shared" si="16"/>
        <v>71401352.71578823</v>
      </c>
      <c r="H29" s="1">
        <f t="shared" si="6"/>
        <v>1362116.1549848784</v>
      </c>
      <c r="I29" s="1"/>
    </row>
    <row r="30" spans="1:9" x14ac:dyDescent="0.25">
      <c r="A30">
        <v>22</v>
      </c>
      <c r="B30" s="1">
        <f t="shared" si="0"/>
        <v>10560000</v>
      </c>
      <c r="C30" s="1">
        <f t="shared" si="12"/>
        <v>18656000</v>
      </c>
      <c r="D30" s="1">
        <f t="shared" si="13"/>
        <v>68087307.097092748</v>
      </c>
      <c r="E30" s="1">
        <f t="shared" si="14"/>
        <v>97303307.097092748</v>
      </c>
      <c r="F30" s="1">
        <f t="shared" si="15"/>
        <v>11953319.492280373</v>
      </c>
      <c r="G30" s="1">
        <f t="shared" si="16"/>
        <v>85349987.604812369</v>
      </c>
      <c r="H30" s="1">
        <f t="shared" si="6"/>
        <v>1297253.4809379792</v>
      </c>
      <c r="I30" s="1"/>
    </row>
    <row r="31" spans="1:9" x14ac:dyDescent="0.25">
      <c r="A31">
        <v>23</v>
      </c>
      <c r="B31" s="1">
        <f t="shared" si="0"/>
        <v>11040000</v>
      </c>
      <c r="C31" s="1">
        <f t="shared" si="12"/>
        <v>20387200</v>
      </c>
      <c r="D31" s="1">
        <f t="shared" si="13"/>
        <v>83162328.710644573</v>
      </c>
      <c r="E31" s="1">
        <f t="shared" si="14"/>
        <v>114589528.71064457</v>
      </c>
      <c r="F31" s="1">
        <f t="shared" si="15"/>
        <v>12797147.46891582</v>
      </c>
      <c r="G31" s="1">
        <f t="shared" si="16"/>
        <v>101792381.24172875</v>
      </c>
      <c r="H31" s="1">
        <f t="shared" si="6"/>
        <v>1232926.8620484925</v>
      </c>
      <c r="I31" s="1"/>
    </row>
    <row r="32" spans="1:9" x14ac:dyDescent="0.25">
      <c r="A32">
        <v>24</v>
      </c>
      <c r="B32" s="1">
        <f t="shared" si="0"/>
        <v>11520000</v>
      </c>
      <c r="C32" s="1">
        <f t="shared" si="12"/>
        <v>22195200</v>
      </c>
      <c r="D32" s="1">
        <f t="shared" si="13"/>
        <v>101138461.52044281</v>
      </c>
      <c r="E32" s="1">
        <f t="shared" si="14"/>
        <v>134853661.52044281</v>
      </c>
      <c r="F32" s="1">
        <f t="shared" si="15"/>
        <v>13691098.627647325</v>
      </c>
      <c r="G32" s="1">
        <f t="shared" si="16"/>
        <v>121162562.89279549</v>
      </c>
      <c r="H32" s="1">
        <f t="shared" si="6"/>
        <v>1169574.8888997559</v>
      </c>
      <c r="I32" s="1"/>
    </row>
    <row r="33" spans="1:9" x14ac:dyDescent="0.25">
      <c r="A33">
        <v>25</v>
      </c>
      <c r="B33" s="1">
        <f t="shared" si="0"/>
        <v>12000000</v>
      </c>
      <c r="C33" s="1">
        <f t="shared" si="12"/>
        <v>24080000</v>
      </c>
      <c r="D33" s="1">
        <f t="shared" si="13"/>
        <v>122528712.66540888</v>
      </c>
      <c r="E33" s="1">
        <f t="shared" si="14"/>
        <v>158608712.66540888</v>
      </c>
      <c r="F33" s="1">
        <f t="shared" si="15"/>
        <v>14638949.455033055</v>
      </c>
      <c r="G33" s="1">
        <f t="shared" si="16"/>
        <v>143969763.21037582</v>
      </c>
      <c r="H33" s="1">
        <f t="shared" si="6"/>
        <v>1107551.9781247687</v>
      </c>
      <c r="I33" s="1"/>
    </row>
    <row r="34" spans="1:9" x14ac:dyDescent="0.25">
      <c r="A34">
        <v>26</v>
      </c>
      <c r="B34" s="1">
        <f t="shared" si="0"/>
        <v>12480000</v>
      </c>
      <c r="C34" s="1">
        <f t="shared" si="12"/>
        <v>26041600</v>
      </c>
      <c r="D34" s="1">
        <f t="shared" si="13"/>
        <v>147934465.43379873</v>
      </c>
      <c r="E34" s="1">
        <f t="shared" si="14"/>
        <v>186456065.43379873</v>
      </c>
      <c r="F34" s="1">
        <f t="shared" si="15"/>
        <v>15644680.613982202</v>
      </c>
      <c r="G34" s="1">
        <f t="shared" si="16"/>
        <v>170811384.81981653</v>
      </c>
      <c r="H34" s="1">
        <f t="shared" si="6"/>
        <v>1047140.0520452358</v>
      </c>
      <c r="I34" s="1"/>
    </row>
    <row r="35" spans="1:9" x14ac:dyDescent="0.25">
      <c r="A35">
        <v>27</v>
      </c>
      <c r="B35" s="1">
        <f t="shared" si="0"/>
        <v>12960000</v>
      </c>
      <c r="C35" s="1">
        <f t="shared" si="12"/>
        <v>28080000.000000004</v>
      </c>
      <c r="D35" s="1">
        <f t="shared" si="13"/>
        <v>178060703.89299563</v>
      </c>
      <c r="E35" s="1">
        <f t="shared" si="14"/>
        <v>219100703.89299563</v>
      </c>
      <c r="F35" s="1">
        <f t="shared" si="15"/>
        <v>16712494.352976339</v>
      </c>
      <c r="G35" s="1">
        <f t="shared" si="16"/>
        <v>202388209.54001927</v>
      </c>
      <c r="H35" s="1">
        <f t="shared" si="6"/>
        <v>988558.79039235529</v>
      </c>
      <c r="I35" s="1"/>
    </row>
    <row r="36" spans="1:9" x14ac:dyDescent="0.25">
      <c r="A36">
        <v>28</v>
      </c>
      <c r="B36" s="1">
        <f t="shared" si="0"/>
        <v>13440000</v>
      </c>
      <c r="C36" s="1">
        <f t="shared" ref="C36:C38" si="17">$B$1*$B$4*(A36*12*(A36*12+1)/2)</f>
        <v>30195200.000000004</v>
      </c>
      <c r="D36" s="1">
        <f t="shared" ref="D36:D38" si="18">E36-B36-C36</f>
        <v>213733860.27843085</v>
      </c>
      <c r="E36" s="1">
        <f t="shared" ref="E36:E38" si="19">FV($B$4,A36*12,-$B$1,0,1)</f>
        <v>257369060.27843085</v>
      </c>
      <c r="F36" s="1">
        <f t="shared" ref="F36:F38" si="20">E36/(1+$B$3)^A36</f>
        <v>17846832.695935942</v>
      </c>
      <c r="G36" s="1">
        <f t="shared" ref="G36:G38" si="21">E36-F36</f>
        <v>239522227.58249491</v>
      </c>
      <c r="H36" s="1">
        <f t="shared" si="6"/>
        <v>931974.6172049141</v>
      </c>
      <c r="I36" s="1"/>
    </row>
    <row r="37" spans="1:9" x14ac:dyDescent="0.25">
      <c r="A37">
        <v>29</v>
      </c>
      <c r="B37" s="1">
        <f t="shared" si="0"/>
        <v>13920000</v>
      </c>
      <c r="C37" s="1">
        <f t="shared" si="17"/>
        <v>32387200.000000004</v>
      </c>
      <c r="D37" s="1">
        <f t="shared" si="18"/>
        <v>255922736.96644014</v>
      </c>
      <c r="E37" s="1">
        <f t="shared" si="19"/>
        <v>302229936.96644014</v>
      </c>
      <c r="F37" s="1">
        <f t="shared" si="20"/>
        <v>19052396.497034859</v>
      </c>
      <c r="G37" s="1">
        <f t="shared" si="21"/>
        <v>283177540.46940529</v>
      </c>
      <c r="H37" s="1">
        <f t="shared" si="6"/>
        <v>877508.56814748398</v>
      </c>
      <c r="I37" s="1"/>
    </row>
    <row r="38" spans="1:9" x14ac:dyDescent="0.25">
      <c r="A38">
        <v>30</v>
      </c>
      <c r="B38" s="1">
        <f t="shared" si="0"/>
        <v>14400000</v>
      </c>
      <c r="C38" s="1">
        <f t="shared" si="17"/>
        <v>34656000</v>
      </c>
      <c r="D38" s="1">
        <f t="shared" si="18"/>
        <v>305763032.69208592</v>
      </c>
      <c r="E38" s="1">
        <f t="shared" si="19"/>
        <v>354819032.69208592</v>
      </c>
      <c r="F38" s="1">
        <f t="shared" si="20"/>
        <v>20334165.447303265</v>
      </c>
      <c r="G38" s="1">
        <f t="shared" si="21"/>
        <v>334484867.24478269</v>
      </c>
      <c r="H38" s="1">
        <f t="shared" si="6"/>
        <v>825243.16753681866</v>
      </c>
      <c r="I38" s="1"/>
    </row>
    <row r="39" spans="1:9" x14ac:dyDescent="0.25">
      <c r="B39" s="1"/>
      <c r="C39" s="1"/>
      <c r="D39" s="1"/>
      <c r="E39" s="1"/>
      <c r="F39" s="1"/>
      <c r="G39" s="1"/>
      <c r="H39" s="1"/>
      <c r="I39" s="1"/>
    </row>
    <row r="40" spans="1:9" x14ac:dyDescent="0.25">
      <c r="B40" s="1"/>
      <c r="C40" s="1"/>
      <c r="D40" s="1"/>
      <c r="E40" s="1"/>
      <c r="F40" s="1"/>
      <c r="G40" s="1"/>
      <c r="H40" s="1"/>
      <c r="I40" s="1"/>
    </row>
    <row r="41" spans="1:9" x14ac:dyDescent="0.25">
      <c r="B41" s="1"/>
      <c r="C41" s="1"/>
      <c r="D41" s="1"/>
      <c r="E41" s="1"/>
      <c r="F41" s="1"/>
      <c r="G41" s="1"/>
      <c r="H41" s="1"/>
      <c r="I41" s="1"/>
    </row>
    <row r="42" spans="1:9" x14ac:dyDescent="0.25">
      <c r="B42" s="1"/>
      <c r="C42" s="1"/>
      <c r="D42" s="1"/>
      <c r="E42" s="1"/>
      <c r="F42" s="1"/>
      <c r="G42" s="1"/>
      <c r="H42" s="1"/>
      <c r="I42" s="1"/>
    </row>
    <row r="43" spans="1:9" x14ac:dyDescent="0.25">
      <c r="B43" s="1"/>
      <c r="C43" s="1"/>
      <c r="D43" s="1"/>
      <c r="E43" s="1"/>
      <c r="F43" s="1"/>
      <c r="G43" s="1"/>
      <c r="H43" s="1"/>
      <c r="I43" s="1"/>
    </row>
    <row r="44" spans="1:9" x14ac:dyDescent="0.25">
      <c r="B44" s="1"/>
      <c r="C44" s="1"/>
      <c r="D44" s="1"/>
      <c r="E44" s="1"/>
      <c r="F44" s="1"/>
      <c r="G44" s="1"/>
      <c r="H44" s="1"/>
      <c r="I44" s="1"/>
    </row>
    <row r="45" spans="1:9" x14ac:dyDescent="0.25">
      <c r="B45" s="1"/>
      <c r="C45" s="1"/>
      <c r="D45" s="1"/>
      <c r="E45" s="1"/>
      <c r="F45" s="1"/>
      <c r="G45" s="1"/>
      <c r="H45" s="1"/>
      <c r="I45" s="1"/>
    </row>
    <row r="46" spans="1:9" x14ac:dyDescent="0.25">
      <c r="B46" s="1"/>
      <c r="C46" s="1"/>
      <c r="D46" s="1"/>
      <c r="E46" s="1"/>
      <c r="F46" s="1"/>
      <c r="G46" s="1"/>
      <c r="H46" s="1"/>
      <c r="I46" s="1"/>
    </row>
    <row r="47" spans="1:9" x14ac:dyDescent="0.25">
      <c r="B47" s="1"/>
      <c r="C47" s="1"/>
      <c r="D47" s="1"/>
      <c r="E47" s="1"/>
      <c r="F47" s="1"/>
      <c r="G47" s="1"/>
      <c r="H47" s="1"/>
      <c r="I47" s="1"/>
    </row>
    <row r="48" spans="1:9" x14ac:dyDescent="0.25">
      <c r="B48" s="1"/>
      <c r="C48" s="1"/>
      <c r="D48" s="1"/>
      <c r="E48" s="1"/>
      <c r="F48" s="1"/>
      <c r="G48" s="1"/>
      <c r="H48" s="1"/>
      <c r="I48" s="1"/>
    </row>
    <row r="49" spans="2:9" x14ac:dyDescent="0.25">
      <c r="B49" s="1"/>
      <c r="C49" s="1"/>
      <c r="D49" s="1"/>
      <c r="E49" s="1"/>
      <c r="F49" s="1"/>
      <c r="G49" s="1"/>
      <c r="H49" s="1"/>
      <c r="I49" s="1"/>
    </row>
    <row r="50" spans="2:9" x14ac:dyDescent="0.25">
      <c r="B50" s="1"/>
      <c r="C50" s="1"/>
      <c r="D50" s="1"/>
      <c r="E50" s="1"/>
      <c r="F50" s="1"/>
      <c r="G50" s="1"/>
      <c r="H50" s="1"/>
      <c r="I50" s="1"/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 Hitby</dc:creator>
  <cp:lastModifiedBy>Me Hitby</cp:lastModifiedBy>
  <dcterms:created xsi:type="dcterms:W3CDTF">2026-03-12T04:31:31Z</dcterms:created>
  <dcterms:modified xsi:type="dcterms:W3CDTF">2026-03-12T18:59:25Z</dcterms:modified>
</cp:coreProperties>
</file>