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заметки\finance\compound_interest\"/>
    </mc:Choice>
  </mc:AlternateContent>
  <xr:revisionPtr revIDLastSave="0" documentId="13_ncr:1_{91BCBF68-74DD-423B-A01D-4F40FE9E6351}" xr6:coauthVersionLast="45" xr6:coauthVersionMax="45" xr10:uidLastSave="{00000000-0000-0000-0000-000000000000}"/>
  <bookViews>
    <workbookView xWindow="-120" yWindow="-120" windowWidth="29040" windowHeight="16440" xr2:uid="{E3602B8B-B2F6-4F86-9251-02EF6EB45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9" i="1" l="1"/>
  <c r="B39" i="1"/>
  <c r="A40" i="1"/>
  <c r="B40" i="1"/>
  <c r="A24" i="1"/>
  <c r="B24" i="1"/>
  <c r="G24" i="1" s="1"/>
  <c r="A25" i="1"/>
  <c r="A26" i="1" s="1"/>
  <c r="A18" i="1"/>
  <c r="B18" i="1" s="1"/>
  <c r="G18" i="1" s="1"/>
  <c r="B9" i="1"/>
  <c r="G9" i="1" s="1"/>
  <c r="B10" i="1"/>
  <c r="G10" i="1" s="1"/>
  <c r="B11" i="1"/>
  <c r="G11" i="1" s="1"/>
  <c r="B12" i="1"/>
  <c r="G12" i="1" s="1"/>
  <c r="B13" i="1"/>
  <c r="G13" i="1" s="1"/>
  <c r="B14" i="1"/>
  <c r="G14" i="1" s="1"/>
  <c r="B15" i="1"/>
  <c r="G15" i="1" s="1"/>
  <c r="B16" i="1"/>
  <c r="G16" i="1" s="1"/>
  <c r="B17" i="1"/>
  <c r="G17" i="1" s="1"/>
  <c r="B8" i="1"/>
  <c r="G8" i="1" s="1"/>
  <c r="A10" i="1"/>
  <c r="A11" i="1"/>
  <c r="A12" i="1" s="1"/>
  <c r="A13" i="1" s="1"/>
  <c r="A14" i="1" s="1"/>
  <c r="A15" i="1" s="1"/>
  <c r="A16" i="1" s="1"/>
  <c r="A17" i="1" s="1"/>
  <c r="A9" i="1"/>
  <c r="B4" i="1"/>
  <c r="C15" i="1" s="1"/>
  <c r="H15" i="1" s="1"/>
  <c r="C40" i="1" l="1"/>
  <c r="H40" i="1" s="1"/>
  <c r="C39" i="1"/>
  <c r="H39" i="1" s="1"/>
  <c r="A41" i="1"/>
  <c r="G39" i="1"/>
  <c r="G40" i="1"/>
  <c r="C14" i="1"/>
  <c r="H14" i="1" s="1"/>
  <c r="C13" i="1"/>
  <c r="H13" i="1" s="1"/>
  <c r="C12" i="1"/>
  <c r="H12" i="1" s="1"/>
  <c r="C11" i="1"/>
  <c r="H11" i="1" s="1"/>
  <c r="C8" i="1"/>
  <c r="H8" i="1" s="1"/>
  <c r="C17" i="1"/>
  <c r="H17" i="1" s="1"/>
  <c r="C16" i="1"/>
  <c r="H16" i="1" s="1"/>
  <c r="C10" i="1"/>
  <c r="H10" i="1" s="1"/>
  <c r="C9" i="1"/>
  <c r="H9" i="1" s="1"/>
  <c r="C25" i="1"/>
  <c r="H25" i="1" s="1"/>
  <c r="D15" i="1"/>
  <c r="E15" i="1" s="1"/>
  <c r="F15" i="1" s="1"/>
  <c r="C24" i="1"/>
  <c r="H24" i="1" s="1"/>
  <c r="B26" i="1"/>
  <c r="G26" i="1" s="1"/>
  <c r="C26" i="1"/>
  <c r="H26" i="1" s="1"/>
  <c r="D26" i="1"/>
  <c r="I26" i="1" s="1"/>
  <c r="A27" i="1"/>
  <c r="B25" i="1"/>
  <c r="G25" i="1" s="1"/>
  <c r="A19" i="1"/>
  <c r="C18" i="1"/>
  <c r="D8" i="1" l="1"/>
  <c r="E8" i="1" s="1"/>
  <c r="F8" i="1" s="1"/>
  <c r="D11" i="1"/>
  <c r="I11" i="1" s="1"/>
  <c r="D16" i="1"/>
  <c r="I16" i="1" s="1"/>
  <c r="D40" i="1"/>
  <c r="D14" i="1"/>
  <c r="E14" i="1" s="1"/>
  <c r="F14" i="1" s="1"/>
  <c r="D12" i="1"/>
  <c r="I12" i="1" s="1"/>
  <c r="D39" i="1"/>
  <c r="D13" i="1"/>
  <c r="E13" i="1" s="1"/>
  <c r="F13" i="1" s="1"/>
  <c r="A42" i="1"/>
  <c r="C41" i="1"/>
  <c r="H41" i="1" s="1"/>
  <c r="B41" i="1"/>
  <c r="D41" i="1"/>
  <c r="I41" i="1" s="1"/>
  <c r="D9" i="1"/>
  <c r="I9" i="1" s="1"/>
  <c r="D17" i="1"/>
  <c r="E11" i="1"/>
  <c r="F11" i="1" s="1"/>
  <c r="I15" i="1"/>
  <c r="D24" i="1"/>
  <c r="D10" i="1"/>
  <c r="D18" i="1"/>
  <c r="H18" i="1"/>
  <c r="D25" i="1"/>
  <c r="A28" i="1"/>
  <c r="C27" i="1"/>
  <c r="H27" i="1" s="1"/>
  <c r="B27" i="1"/>
  <c r="G27" i="1" s="1"/>
  <c r="E26" i="1"/>
  <c r="F26" i="1" s="1"/>
  <c r="A20" i="1"/>
  <c r="B19" i="1"/>
  <c r="G19" i="1" s="1"/>
  <c r="C19" i="1"/>
  <c r="H19" i="1" s="1"/>
  <c r="I8" i="1"/>
  <c r="E12" i="1"/>
  <c r="F12" i="1" s="1"/>
  <c r="I14" i="1" l="1"/>
  <c r="I40" i="1"/>
  <c r="E40" i="1"/>
  <c r="F40" i="1" s="1"/>
  <c r="I13" i="1"/>
  <c r="E16" i="1"/>
  <c r="F16" i="1" s="1"/>
  <c r="I39" i="1"/>
  <c r="E39" i="1"/>
  <c r="F39" i="1" s="1"/>
  <c r="E9" i="1"/>
  <c r="F9" i="1" s="1"/>
  <c r="G41" i="1"/>
  <c r="E41" i="1"/>
  <c r="F41" i="1" s="1"/>
  <c r="A43" i="1"/>
  <c r="B42" i="1"/>
  <c r="C42" i="1"/>
  <c r="H42" i="1" s="1"/>
  <c r="E10" i="1"/>
  <c r="F10" i="1" s="1"/>
  <c r="I10" i="1"/>
  <c r="I24" i="1"/>
  <c r="E24" i="1"/>
  <c r="F24" i="1" s="1"/>
  <c r="D27" i="1"/>
  <c r="I27" i="1" s="1"/>
  <c r="E17" i="1"/>
  <c r="F17" i="1" s="1"/>
  <c r="I17" i="1"/>
  <c r="E25" i="1"/>
  <c r="F25" i="1" s="1"/>
  <c r="I25" i="1"/>
  <c r="E18" i="1"/>
  <c r="F18" i="1" s="1"/>
  <c r="I18" i="1"/>
  <c r="B28" i="1"/>
  <c r="G28" i="1" s="1"/>
  <c r="C28" i="1"/>
  <c r="H28" i="1" s="1"/>
  <c r="A29" i="1"/>
  <c r="D19" i="1"/>
  <c r="B20" i="1"/>
  <c r="G20" i="1" s="1"/>
  <c r="C20" i="1"/>
  <c r="A21" i="1"/>
  <c r="D28" i="1" l="1"/>
  <c r="I28" i="1" s="1"/>
  <c r="E27" i="1"/>
  <c r="F27" i="1" s="1"/>
  <c r="D42" i="1"/>
  <c r="I42" i="1" s="1"/>
  <c r="G42" i="1"/>
  <c r="B43" i="1"/>
  <c r="C43" i="1"/>
  <c r="H43" i="1" s="1"/>
  <c r="D43" i="1"/>
  <c r="I43" i="1" s="1"/>
  <c r="A44" i="1"/>
  <c r="E19" i="1"/>
  <c r="F19" i="1" s="1"/>
  <c r="I19" i="1"/>
  <c r="D20" i="1"/>
  <c r="I20" i="1" s="1"/>
  <c r="H20" i="1"/>
  <c r="E28" i="1"/>
  <c r="F28" i="1" s="1"/>
  <c r="A30" i="1"/>
  <c r="B29" i="1"/>
  <c r="G29" i="1" s="1"/>
  <c r="C29" i="1"/>
  <c r="H29" i="1" s="1"/>
  <c r="B21" i="1"/>
  <c r="G21" i="1" s="1"/>
  <c r="C21" i="1"/>
  <c r="A22" i="1"/>
  <c r="E42" i="1" l="1"/>
  <c r="F42" i="1" s="1"/>
  <c r="E20" i="1"/>
  <c r="F20" i="1" s="1"/>
  <c r="A45" i="1"/>
  <c r="B44" i="1"/>
  <c r="C44" i="1"/>
  <c r="H44" i="1" s="1"/>
  <c r="E43" i="1"/>
  <c r="F43" i="1" s="1"/>
  <c r="G43" i="1"/>
  <c r="D21" i="1"/>
  <c r="I21" i="1" s="1"/>
  <c r="H21" i="1"/>
  <c r="D29" i="1"/>
  <c r="B30" i="1"/>
  <c r="G30" i="1" s="1"/>
  <c r="C30" i="1"/>
  <c r="A31" i="1"/>
  <c r="B22" i="1"/>
  <c r="G22" i="1" s="1"/>
  <c r="C22" i="1"/>
  <c r="H22" i="1" s="1"/>
  <c r="D22" i="1"/>
  <c r="I22" i="1" s="1"/>
  <c r="A23" i="1"/>
  <c r="E21" i="1" l="1"/>
  <c r="F21" i="1" s="1"/>
  <c r="G44" i="1"/>
  <c r="A46" i="1"/>
  <c r="B45" i="1"/>
  <c r="C45" i="1"/>
  <c r="H45" i="1" s="1"/>
  <c r="D45" i="1"/>
  <c r="I45" i="1" s="1"/>
  <c r="D44" i="1"/>
  <c r="I44" i="1" s="1"/>
  <c r="D30" i="1"/>
  <c r="I30" i="1" s="1"/>
  <c r="H30" i="1"/>
  <c r="E29" i="1"/>
  <c r="F29" i="1" s="1"/>
  <c r="I29" i="1"/>
  <c r="A32" i="1"/>
  <c r="B31" i="1"/>
  <c r="G31" i="1" s="1"/>
  <c r="C31" i="1"/>
  <c r="H31" i="1" s="1"/>
  <c r="B23" i="1"/>
  <c r="G23" i="1" s="1"/>
  <c r="C23" i="1"/>
  <c r="E22" i="1"/>
  <c r="F22" i="1" s="1"/>
  <c r="E30" i="1" l="1"/>
  <c r="F30" i="1" s="1"/>
  <c r="G45" i="1"/>
  <c r="E45" i="1"/>
  <c r="F45" i="1" s="1"/>
  <c r="A47" i="1"/>
  <c r="B46" i="1"/>
  <c r="C46" i="1"/>
  <c r="H46" i="1" s="1"/>
  <c r="E44" i="1"/>
  <c r="F44" i="1" s="1"/>
  <c r="D23" i="1"/>
  <c r="I23" i="1" s="1"/>
  <c r="H23" i="1"/>
  <c r="D31" i="1"/>
  <c r="I31" i="1" s="1"/>
  <c r="B32" i="1"/>
  <c r="G32" i="1" s="1"/>
  <c r="C32" i="1"/>
  <c r="H32" i="1" s="1"/>
  <c r="A33" i="1"/>
  <c r="E23" i="1" l="1"/>
  <c r="F23" i="1" s="1"/>
  <c r="D32" i="1"/>
  <c r="I32" i="1" s="1"/>
  <c r="D46" i="1"/>
  <c r="I46" i="1" s="1"/>
  <c r="B47" i="1"/>
  <c r="C47" i="1"/>
  <c r="H47" i="1" s="1"/>
  <c r="A48" i="1"/>
  <c r="E46" i="1"/>
  <c r="F46" i="1" s="1"/>
  <c r="G46" i="1"/>
  <c r="E31" i="1"/>
  <c r="F31" i="1" s="1"/>
  <c r="A34" i="1"/>
  <c r="C33" i="1"/>
  <c r="H33" i="1" s="1"/>
  <c r="B33" i="1"/>
  <c r="G33" i="1" s="1"/>
  <c r="E32" i="1" l="1"/>
  <c r="F32" i="1" s="1"/>
  <c r="D33" i="1"/>
  <c r="I33" i="1" s="1"/>
  <c r="C48" i="1"/>
  <c r="H48" i="1" s="1"/>
  <c r="B48" i="1"/>
  <c r="A49" i="1"/>
  <c r="G47" i="1"/>
  <c r="D47" i="1"/>
  <c r="I47" i="1" s="1"/>
  <c r="C34" i="1"/>
  <c r="H34" i="1" s="1"/>
  <c r="B34" i="1"/>
  <c r="G34" i="1" s="1"/>
  <c r="D34" i="1"/>
  <c r="I34" i="1" s="1"/>
  <c r="A35" i="1"/>
  <c r="E33" i="1" l="1"/>
  <c r="F33" i="1" s="1"/>
  <c r="E47" i="1"/>
  <c r="F47" i="1" s="1"/>
  <c r="A50" i="1"/>
  <c r="B49" i="1"/>
  <c r="C49" i="1"/>
  <c r="H49" i="1" s="1"/>
  <c r="G48" i="1"/>
  <c r="D48" i="1"/>
  <c r="I48" i="1" s="1"/>
  <c r="A36" i="1"/>
  <c r="C35" i="1"/>
  <c r="H35" i="1" s="1"/>
  <c r="B35" i="1"/>
  <c r="G35" i="1" s="1"/>
  <c r="E34" i="1"/>
  <c r="F34" i="1" s="1"/>
  <c r="D49" i="1" l="1"/>
  <c r="I49" i="1" s="1"/>
  <c r="B50" i="1"/>
  <c r="C50" i="1"/>
  <c r="H50" i="1" s="1"/>
  <c r="E48" i="1"/>
  <c r="F48" i="1" s="1"/>
  <c r="G49" i="1"/>
  <c r="D35" i="1"/>
  <c r="C36" i="1"/>
  <c r="H36" i="1" s="1"/>
  <c r="B36" i="1"/>
  <c r="G36" i="1" s="1"/>
  <c r="A37" i="1"/>
  <c r="E49" i="1" l="1"/>
  <c r="F49" i="1" s="1"/>
  <c r="D50" i="1"/>
  <c r="I50" i="1" s="1"/>
  <c r="G50" i="1"/>
  <c r="E35" i="1"/>
  <c r="F35" i="1" s="1"/>
  <c r="I35" i="1"/>
  <c r="A38" i="1"/>
  <c r="B37" i="1"/>
  <c r="G37" i="1" s="1"/>
  <c r="C37" i="1"/>
  <c r="H37" i="1" s="1"/>
  <c r="D36" i="1"/>
  <c r="E50" i="1" l="1"/>
  <c r="F50" i="1" s="1"/>
  <c r="E36" i="1"/>
  <c r="F36" i="1" s="1"/>
  <c r="I36" i="1"/>
  <c r="D37" i="1"/>
  <c r="C38" i="1"/>
  <c r="H38" i="1" s="1"/>
  <c r="B38" i="1"/>
  <c r="G38" i="1" s="1"/>
  <c r="E37" i="1" l="1"/>
  <c r="F37" i="1" s="1"/>
  <c r="I37" i="1"/>
  <c r="D38" i="1"/>
  <c r="E38" i="1" l="1"/>
  <c r="F38" i="1" s="1"/>
  <c r="I38" i="1"/>
</calcChain>
</file>

<file path=xl/sharedStrings.xml><?xml version="1.0" encoding="utf-8"?>
<sst xmlns="http://schemas.openxmlformats.org/spreadsheetml/2006/main" count="13" uniqueCount="13">
  <si>
    <t>Инфляция</t>
  </si>
  <si>
    <t>Ежемесячный взнос</t>
  </si>
  <si>
    <t>Годовая ставка</t>
  </si>
  <si>
    <t>Месячная ставка</t>
  </si>
  <si>
    <t>Год</t>
  </si>
  <si>
    <t>пополнения</t>
  </si>
  <si>
    <t>доход сложный</t>
  </si>
  <si>
    <t>общий капитал</t>
  </si>
  <si>
    <t>доход простой</t>
  </si>
  <si>
    <t>Капитал с учетом инфляции</t>
  </si>
  <si>
    <t>Доход простой (инфл)</t>
  </si>
  <si>
    <t>Доход слож (инфл)</t>
  </si>
  <si>
    <t>пополн (инфл)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</si>
</sst>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Sheet1!$B$7</c:f>
              <c:strCache>
                <c:ptCount val="1"/>
                <c:pt idx="0">
                  <c:v>пополнения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Sheet1!$B$8:$B$17</c:f>
              <c:numCache>
                <c:formatCode>#,##0</c:formatCode>
                <c:ptCount val="10"/>
                <c:pt idx="0">
                  <c:v>480000</c:v>
                </c:pt>
                <c:pt idx="1">
                  <c:v>960000</c:v>
                </c:pt>
                <c:pt idx="2">
                  <c:v>1440000</c:v>
                </c:pt>
                <c:pt idx="3">
                  <c:v>1920000</c:v>
                </c:pt>
                <c:pt idx="4">
                  <c:v>2400000</c:v>
                </c:pt>
                <c:pt idx="5">
                  <c:v>2880000</c:v>
                </c:pt>
                <c:pt idx="6">
                  <c:v>3360000</c:v>
                </c:pt>
                <c:pt idx="7">
                  <c:v>3840000</c:v>
                </c:pt>
                <c:pt idx="8">
                  <c:v>4320000</c:v>
                </c:pt>
                <c:pt idx="9">
                  <c:v>4800000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D-43AC-A8A2-D2B9F7A423A3}"/>
            </c:ext>
          </c:extLst>
        </c:ser>
        <c:ser>
          <c:idx val="4"/>
          <c:order val="4"/>
          <c:tx>
            <c:strRef>
              <c:f>Sheet1!$E$7</c:f>
              <c:strCache>
                <c:ptCount val="1"/>
                <c:pt idx="0">
                  <c:v>общий капитал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Sheet1!$E$8:$E$17</c:f>
              <c:numCache>
                <c:formatCode>#,##0</c:formatCode>
                <c:ptCount val="10"/>
                <c:pt idx="0">
                  <c:v>523703.22670698655</c:v>
                </c:pt>
                <c:pt idx="1">
                  <c:v>1137625.226329535</c:v>
                </c:pt>
                <c:pt idx="2">
                  <c:v>1857308.0588957453</c:v>
                </c:pt>
                <c:pt idx="3">
                  <c:v>2700971.2275213473</c:v>
                </c:pt>
                <c:pt idx="4">
                  <c:v>3689972.9236676949</c:v>
                </c:pt>
                <c:pt idx="5">
                  <c:v>4849350.7314885585</c:v>
                </c:pt>
                <c:pt idx="6">
                  <c:v>6208455.4797463473</c:v>
                </c:pt>
                <c:pt idx="7">
                  <c:v>7801694.2879039366</c:v>
                </c:pt>
                <c:pt idx="8">
                  <c:v>9669401.617359858</c:v>
                </c:pt>
                <c:pt idx="9">
                  <c:v>11858860.379375104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CD-43AC-A8A2-D2B9F7A423A3}"/>
            </c:ext>
          </c:extLst>
        </c:ser>
        <c:ser>
          <c:idx val="5"/>
          <c:order val="5"/>
          <c:tx>
            <c:strRef>
              <c:f>Sheet1!$F$7</c:f>
              <c:strCache>
                <c:ptCount val="1"/>
                <c:pt idx="0">
                  <c:v>Капитал с учетом инфляции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Sheet1!$F$8:$F$17</c:f>
              <c:numCache>
                <c:formatCode>#,##0</c:formatCode>
                <c:ptCount val="10"/>
                <c:pt idx="0">
                  <c:v>476093.84246089682</c:v>
                </c:pt>
                <c:pt idx="1">
                  <c:v>940186.13746242551</c:v>
                </c:pt>
                <c:pt idx="2">
                  <c:v>1395423.0344821524</c:v>
                </c:pt>
                <c:pt idx="3">
                  <c:v>1844799.6909509914</c:v>
                </c:pt>
                <c:pt idx="4">
                  <c:v>2291182.8698162031</c:v>
                </c:pt>
                <c:pt idx="5">
                  <c:v>2737332.0656125057</c:v>
                </c:pt>
                <c:pt idx="6">
                  <c:v>3185919.3311057533</c:v>
                </c:pt>
                <c:pt idx="7">
                  <c:v>3639547.9634473054</c:v>
                </c:pt>
                <c:pt idx="8">
                  <c:v>4100770.1970093669</c:v>
                </c:pt>
                <c:pt idx="9">
                  <c:v>4572104.0395498192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CD-43AC-A8A2-D2B9F7A42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254399"/>
        <c:axId val="82561998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Год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Sheet1!$A$8:$A$17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7CD-43AC-A8A2-D2B9F7A423A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Sheet1!$C$7</c15:sqref>
                        </c15:formulaRef>
                      </c:ext>
                    </c:extLst>
                    <c:strCache>
                      <c:ptCount val="1"/>
                      <c:pt idx="0">
                        <c:v>доход простой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Sheet1!$C$8:$C$17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41600</c:v>
                      </c:pt>
                      <c:pt idx="1">
                        <c:v>160000</c:v>
                      </c:pt>
                      <c:pt idx="2">
                        <c:v>355200</c:v>
                      </c:pt>
                      <c:pt idx="3">
                        <c:v>627200</c:v>
                      </c:pt>
                      <c:pt idx="4">
                        <c:v>976000.00000000012</c:v>
                      </c:pt>
                      <c:pt idx="5">
                        <c:v>1401600</c:v>
                      </c:pt>
                      <c:pt idx="6">
                        <c:v>1904000.0000000002</c:v>
                      </c:pt>
                      <c:pt idx="7">
                        <c:v>2483200</c:v>
                      </c:pt>
                      <c:pt idx="8">
                        <c:v>3139200</c:v>
                      </c:pt>
                      <c:pt idx="9">
                        <c:v>3872000.0000000005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7CD-43AC-A8A2-D2B9F7A423A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Sheet1!$D$7</c15:sqref>
                        </c15:formulaRef>
                      </c:ext>
                    </c:extLst>
                    <c:strCache>
                      <c:ptCount val="1"/>
                      <c:pt idx="0">
                        <c:v>доход сложный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Sheet1!$D$8:$D$17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2103.2267069865484</c:v>
                      </c:pt>
                      <c:pt idx="1">
                        <c:v>17625.226329535013</c:v>
                      </c:pt>
                      <c:pt idx="2">
                        <c:v>62108.058895745315</c:v>
                      </c:pt>
                      <c:pt idx="3">
                        <c:v>153771.22752134735</c:v>
                      </c:pt>
                      <c:pt idx="4">
                        <c:v>313972.92366769479</c:v>
                      </c:pt>
                      <c:pt idx="5">
                        <c:v>567750.73148855846</c:v>
                      </c:pt>
                      <c:pt idx="6">
                        <c:v>944455.47974634706</c:v>
                      </c:pt>
                      <c:pt idx="7">
                        <c:v>1478494.2879039366</c:v>
                      </c:pt>
                      <c:pt idx="8">
                        <c:v>2210201.617359858</c:v>
                      </c:pt>
                      <c:pt idx="9">
                        <c:v>3186860.3793751034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7CD-43AC-A8A2-D2B9F7A423A3}"/>
                  </c:ext>
                </c:extLst>
              </c15:ser>
            </c15:filteredLineSeries>
          </c:ext>
        </c:extLst>
      </c:lineChart>
      <c:catAx>
        <c:axId val="979254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5619983"/>
        <c:crosses val="autoZero"/>
        <c:auto val="1"/>
        <c:lblAlgn val="ctr"/>
        <c:lblOffset val="100"/>
        <c:noMultiLvlLbl val="0"/>
      </c:catAx>
      <c:valAx>
        <c:axId val="8256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925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30967388451443567"/>
          <c:y val="0.17171296296296298"/>
          <c:w val="0.40287467191601051"/>
          <c:h val="0.67145778652668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Sheet1!$B$7:$D$7</c:f>
              <c:strCache>
                <c:ptCount val="3"/>
                <c:pt idx="0">
                  <c:v>пополнения</c:v>
                </c:pt>
                <c:pt idx="1">
                  <c:v>доход простой</c:v>
                </c:pt>
                <c:pt idx="2">
                  <c:v>доход сложный</c:v>
                </c:pt>
              </c:strCache>
            </c:strRef>
          </c:cat>
          <c:val>
            <c:numRef>
              <c:f>Sheet1!$B$37:$D$37</c:f>
              <c:numCache>
                <c:formatCode>#,##0</c:formatCode>
                <c:ptCount val="3"/>
                <c:pt idx="0">
                  <c:v>14400000</c:v>
                </c:pt>
                <c:pt idx="1">
                  <c:v>34656000</c:v>
                </c:pt>
                <c:pt idx="2">
                  <c:v>305763032.69208592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A-49DC-B273-1F1F2C6AE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967388451443567"/>
          <c:y val="0.17171296296296298"/>
          <c:w val="0.40287467191601051"/>
          <c:h val="0.67145778652668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F5-4148-BF9A-50DBDFEFD4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F5-4148-BF9A-50DBDFEFD4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F5-4148-BF9A-50DBDFEFD43A}"/>
              </c:ext>
            </c:extLst>
          </c:dPt>
          <c:cat>
            <c:strRef>
              <c:f>Sheet1!$G$7:$I$7</c:f>
              <c:strCache>
                <c:ptCount val="3"/>
                <c:pt idx="0">
                  <c:v>пополн (инфл)</c:v>
                </c:pt>
                <c:pt idx="1">
                  <c:v>Доход простой (инфл)</c:v>
                </c:pt>
                <c:pt idx="2">
                  <c:v>Доход слож (инфл)</c:v>
                </c:pt>
              </c:strCache>
            </c:strRef>
          </c:cat>
          <c:val>
            <c:numRef>
              <c:f>Sheet1!$G$37:$I$37</c:f>
              <c:numCache>
                <c:formatCode>#,##0</c:formatCode>
                <c:ptCount val="3"/>
                <c:pt idx="0">
                  <c:v>825243.16753681866</c:v>
                </c:pt>
                <c:pt idx="1">
                  <c:v>1986085.223205277</c:v>
                </c:pt>
                <c:pt idx="2">
                  <c:v>17522837.056561168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F5-4148-BF9A-50DBDFEFD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19</xdr:row>
      <xdr:rowOff>171450</xdr:rowOff>
    </xdr:from>
    <xdr:to>
      <xdr:col>20</xdr:col>
      <xdr:colOff>285750</xdr:colOff>
      <xdr:row>41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95D809-046E-4442-AB7E-BAC5DF81C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438149</xdr:colOff>
      <xdr:row>4</xdr:row>
      <xdr:rowOff>142875</xdr:rowOff>
    </xdr:from>
    <xdr:to>
      <xdr:col>14</xdr:col>
      <xdr:colOff>361950</xdr:colOff>
      <xdr:row>19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F8B5E6-9553-4209-816B-2732D0A57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419100</xdr:colOff>
      <xdr:row>4</xdr:row>
      <xdr:rowOff>142875</xdr:rowOff>
    </xdr:from>
    <xdr:to>
      <xdr:col>19</xdr:col>
      <xdr:colOff>319087</xdr:colOff>
      <xdr:row>19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B41648-7D7D-4E18-AD0A-A4F4518D3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C34C-30D3-40E0-BD01-BE91DE1D5EED}">
  <dimension ref="A1:I50"/>
  <sheetViews>
    <sheetView tabSelected="1" topLeftCell="A5" workbookViewId="0">
      <selection activeCell="B3" sqref="B3"/>
    </sheetView>
  </sheetViews>
  <sheetFormatPr defaultRowHeight="15" x14ac:dyDescent="0.25"/>
  <cols>
    <col min="2" max="2" width="18.5703125" customWidth="1"/>
    <col min="3" max="3" width="17.7109375" customWidth="1"/>
    <col min="4" max="4" width="17.140625" customWidth="1"/>
    <col min="5" max="5" width="17.7109375" customWidth="1"/>
    <col min="6" max="6" width="27.140625" customWidth="1"/>
    <col min="7" max="7" width="19" customWidth="1"/>
    <col min="8" max="8" width="22.5703125" customWidth="1"/>
    <col min="9" max="9" width="20.85546875" customWidth="1"/>
  </cols>
  <sheetData>
    <row r="1" spans="1:9" ht="45" x14ac:dyDescent="0.25">
      <c r="A1" s="2" t="s">
        <v>1</v>
      </c>
      <c r="B1" s="4">
        <v>40000</v>
      </c>
    </row>
    <row r="2" spans="1:9" ht="30" x14ac:dyDescent="0.25">
      <c r="A2" s="2" t="s">
        <v>2</v>
      </c>
      <c r="B2" s="3">
        <v>0.16</v>
      </c>
    </row>
    <row r="3" spans="1:9" ht="30" x14ac:dyDescent="0.25">
      <c r="A3" s="2" t="s">
        <v>0</v>
      </c>
      <c r="B3" s="3">
        <v>0.1</v>
      </c>
      <c r="I3" s="1"/>
    </row>
    <row r="4" spans="1:9" ht="30" x14ac:dyDescent="0.25">
      <c r="A4" s="2" t="s">
        <v>3</v>
      </c>
      <c r="B4" s="3">
        <f>B2/12</f>
        <v>1.3333333333333334E-2</v>
      </c>
      <c r="C4" s="1"/>
      <c r="D4" s="1"/>
      <c r="E4" s="1"/>
    </row>
    <row r="5" spans="1:9" x14ac:dyDescent="0.25">
      <c r="C5" s="1"/>
      <c r="D5" s="1"/>
      <c r="E5" s="1"/>
    </row>
    <row r="6" spans="1:9" x14ac:dyDescent="0.25">
      <c r="C6" s="1"/>
      <c r="D6" s="1"/>
      <c r="E6" s="1"/>
    </row>
    <row r="7" spans="1:9" x14ac:dyDescent="0.25">
      <c r="A7" s="2" t="s">
        <v>4</v>
      </c>
      <c r="B7" t="s">
        <v>5</v>
      </c>
      <c r="C7" s="1" t="s">
        <v>8</v>
      </c>
      <c r="D7" s="1" t="s">
        <v>6</v>
      </c>
      <c r="E7" s="1" t="s">
        <v>7</v>
      </c>
      <c r="F7" t="s">
        <v>9</v>
      </c>
      <c r="G7" s="1" t="s">
        <v>12</v>
      </c>
      <c r="H7" s="1" t="s">
        <v>10</v>
      </c>
      <c r="I7" s="1" t="s">
        <v>11</v>
      </c>
    </row>
    <row r="8" spans="1:9" x14ac:dyDescent="0.25">
      <c r="A8">
        <v>1</v>
      </c>
      <c r="B8" s="1">
        <f>$B$1*12*A8</f>
        <v>480000</v>
      </c>
      <c r="C8" s="1">
        <f>$B$1*$B$4*(A8*12*(A8*12+1)/2)</f>
        <v>41600</v>
      </c>
      <c r="D8" s="1">
        <f>(FV($B$4,A8*12,-$B$1,0,1)-B8)-C8</f>
        <v>2103.2267069865484</v>
      </c>
      <c r="E8" s="1">
        <f>B8+D8+C8</f>
        <v>523703.22670698655</v>
      </c>
      <c r="F8" s="1">
        <f>E8/(1+$B$3)^A8</f>
        <v>476093.84246089682</v>
      </c>
      <c r="G8" s="1">
        <f>B8/(1+$B$3)^A8</f>
        <v>436363.63636363635</v>
      </c>
      <c r="H8" s="1">
        <f>C8/(1+$B$3)^A8</f>
        <v>37818.181818181816</v>
      </c>
      <c r="I8" s="1">
        <f>D8/(1+$B$3)^A8</f>
        <v>1912.0242790786801</v>
      </c>
    </row>
    <row r="9" spans="1:9" x14ac:dyDescent="0.25">
      <c r="A9">
        <f>A8+1</f>
        <v>2</v>
      </c>
      <c r="B9" s="1">
        <f t="shared" ref="B9:B50" si="0">$B$1*12*A9</f>
        <v>960000</v>
      </c>
      <c r="C9" s="1">
        <f t="shared" ref="C9:C17" si="1">$B$1*$B$4*(A9*12*(A9*12+1)/2)</f>
        <v>160000</v>
      </c>
      <c r="D9" s="1">
        <f t="shared" ref="D9:D17" si="2">(FV($B$4,A9*12,-$B$1,0,1)-B9)-C9</f>
        <v>17625.226329535013</v>
      </c>
      <c r="E9" s="1">
        <f t="shared" ref="E9:E17" si="3">B9+D9+C9</f>
        <v>1137625.226329535</v>
      </c>
      <c r="F9" s="1">
        <f t="shared" ref="F9:F17" si="4">E9/(1+$B$3)^A9</f>
        <v>940186.13746242551</v>
      </c>
      <c r="G9" s="1">
        <f t="shared" ref="G9:G38" si="5">B9/(1+$B$3)^A9</f>
        <v>793388.42975206603</v>
      </c>
      <c r="H9" s="1">
        <f t="shared" ref="H9:H17" si="6">C9/(1+$B$3)^A9</f>
        <v>132231.40495867765</v>
      </c>
      <c r="I9" s="1">
        <f t="shared" ref="I9:I17" si="7">D9/(1+$B$3)^A9</f>
        <v>14566.302751681827</v>
      </c>
    </row>
    <row r="10" spans="1:9" x14ac:dyDescent="0.25">
      <c r="A10">
        <f t="shared" ref="A10:A21" si="8">A9+1</f>
        <v>3</v>
      </c>
      <c r="B10" s="1">
        <f t="shared" si="0"/>
        <v>1440000</v>
      </c>
      <c r="C10" s="1">
        <f t="shared" si="1"/>
        <v>355200</v>
      </c>
      <c r="D10" s="1">
        <f t="shared" si="2"/>
        <v>62108.058895745315</v>
      </c>
      <c r="E10" s="1">
        <f t="shared" si="3"/>
        <v>1857308.0588957453</v>
      </c>
      <c r="F10" s="1">
        <f t="shared" si="4"/>
        <v>1395423.0344821524</v>
      </c>
      <c r="G10" s="1">
        <f t="shared" si="5"/>
        <v>1081893.3132982717</v>
      </c>
      <c r="H10" s="1">
        <f t="shared" si="6"/>
        <v>266867.01728024037</v>
      </c>
      <c r="I10" s="1">
        <f t="shared" si="7"/>
        <v>46662.703903640344</v>
      </c>
    </row>
    <row r="11" spans="1:9" x14ac:dyDescent="0.25">
      <c r="A11">
        <f t="shared" si="8"/>
        <v>4</v>
      </c>
      <c r="B11" s="1">
        <f t="shared" si="0"/>
        <v>1920000</v>
      </c>
      <c r="C11" s="1">
        <f t="shared" si="1"/>
        <v>627200</v>
      </c>
      <c r="D11" s="1">
        <f t="shared" si="2"/>
        <v>153771.22752134735</v>
      </c>
      <c r="E11" s="1">
        <f t="shared" si="3"/>
        <v>2700971.2275213473</v>
      </c>
      <c r="F11" s="1">
        <f t="shared" si="4"/>
        <v>1844799.6909509914</v>
      </c>
      <c r="G11" s="1">
        <f t="shared" si="5"/>
        <v>1311385.8343009353</v>
      </c>
      <c r="H11" s="1">
        <f t="shared" si="6"/>
        <v>428386.03920497221</v>
      </c>
      <c r="I11" s="1">
        <f t="shared" si="7"/>
        <v>105027.81744508387</v>
      </c>
    </row>
    <row r="12" spans="1:9" x14ac:dyDescent="0.25">
      <c r="A12">
        <f t="shared" si="8"/>
        <v>5</v>
      </c>
      <c r="B12" s="1">
        <f t="shared" si="0"/>
        <v>2400000</v>
      </c>
      <c r="C12" s="1">
        <f t="shared" si="1"/>
        <v>976000.00000000012</v>
      </c>
      <c r="D12" s="1">
        <f t="shared" si="2"/>
        <v>313972.92366769479</v>
      </c>
      <c r="E12" s="1">
        <f t="shared" si="3"/>
        <v>3689972.9236676949</v>
      </c>
      <c r="F12" s="1">
        <f t="shared" si="4"/>
        <v>2291182.8698162031</v>
      </c>
      <c r="G12" s="1">
        <f t="shared" si="5"/>
        <v>1490211.1753419719</v>
      </c>
      <c r="H12" s="1">
        <f t="shared" si="6"/>
        <v>606019.21130573528</v>
      </c>
      <c r="I12" s="1">
        <f t="shared" si="7"/>
        <v>194952.48316849611</v>
      </c>
    </row>
    <row r="13" spans="1:9" x14ac:dyDescent="0.25">
      <c r="A13">
        <f t="shared" si="8"/>
        <v>6</v>
      </c>
      <c r="B13" s="1">
        <f t="shared" si="0"/>
        <v>2880000</v>
      </c>
      <c r="C13" s="1">
        <f t="shared" si="1"/>
        <v>1401600</v>
      </c>
      <c r="D13" s="1">
        <f t="shared" si="2"/>
        <v>567750.73148855846</v>
      </c>
      <c r="E13" s="1">
        <f t="shared" si="3"/>
        <v>4849350.7314885585</v>
      </c>
      <c r="F13" s="1">
        <f t="shared" si="4"/>
        <v>2737332.0656125057</v>
      </c>
      <c r="G13" s="1">
        <f t="shared" si="5"/>
        <v>1625684.9185548783</v>
      </c>
      <c r="H13" s="1">
        <f t="shared" si="6"/>
        <v>791166.66036337405</v>
      </c>
      <c r="I13" s="1">
        <f t="shared" si="7"/>
        <v>320480.4866942534</v>
      </c>
    </row>
    <row r="14" spans="1:9" x14ac:dyDescent="0.25">
      <c r="A14">
        <f t="shared" si="8"/>
        <v>7</v>
      </c>
      <c r="B14" s="1">
        <f t="shared" si="0"/>
        <v>3360000</v>
      </c>
      <c r="C14" s="1">
        <f t="shared" si="1"/>
        <v>1904000.0000000002</v>
      </c>
      <c r="D14" s="1">
        <f t="shared" si="2"/>
        <v>944455.47974634706</v>
      </c>
      <c r="E14" s="1">
        <f t="shared" si="3"/>
        <v>6208455.4797463473</v>
      </c>
      <c r="F14" s="1">
        <f t="shared" si="4"/>
        <v>3185919.3311057533</v>
      </c>
      <c r="G14" s="1">
        <f t="shared" si="5"/>
        <v>1724211.2772551735</v>
      </c>
      <c r="H14" s="1">
        <f t="shared" si="6"/>
        <v>977053.05711126514</v>
      </c>
      <c r="I14" s="1">
        <f t="shared" si="7"/>
        <v>484654.99673931452</v>
      </c>
    </row>
    <row r="15" spans="1:9" x14ac:dyDescent="0.25">
      <c r="A15">
        <f t="shared" si="8"/>
        <v>8</v>
      </c>
      <c r="B15" s="1">
        <f t="shared" si="0"/>
        <v>3840000</v>
      </c>
      <c r="C15" s="1">
        <f t="shared" si="1"/>
        <v>2483200</v>
      </c>
      <c r="D15" s="1">
        <f t="shared" si="2"/>
        <v>1478494.2879039366</v>
      </c>
      <c r="E15" s="1">
        <f t="shared" si="3"/>
        <v>7801694.2879039366</v>
      </c>
      <c r="F15" s="1">
        <f t="shared" si="4"/>
        <v>3639547.9634473054</v>
      </c>
      <c r="G15" s="1">
        <f t="shared" si="5"/>
        <v>1791388.3400053754</v>
      </c>
      <c r="H15" s="1">
        <f t="shared" si="6"/>
        <v>1158431.1265368094</v>
      </c>
      <c r="I15" s="1">
        <f t="shared" si="7"/>
        <v>689728.49690512044</v>
      </c>
    </row>
    <row r="16" spans="1:9" x14ac:dyDescent="0.25">
      <c r="A16">
        <f t="shared" si="8"/>
        <v>9</v>
      </c>
      <c r="B16" s="1">
        <f t="shared" si="0"/>
        <v>4320000</v>
      </c>
      <c r="C16" s="1">
        <f t="shared" si="1"/>
        <v>3139200</v>
      </c>
      <c r="D16" s="1">
        <f t="shared" si="2"/>
        <v>2210201.617359858</v>
      </c>
      <c r="E16" s="1">
        <f t="shared" si="3"/>
        <v>9669401.617359858</v>
      </c>
      <c r="F16" s="1">
        <f t="shared" si="4"/>
        <v>4100770.1970093669</v>
      </c>
      <c r="G16" s="1">
        <f t="shared" si="5"/>
        <v>1832101.7113691338</v>
      </c>
      <c r="H16" s="1">
        <f t="shared" si="6"/>
        <v>1331327.2435949037</v>
      </c>
      <c r="I16" s="1">
        <f t="shared" si="7"/>
        <v>937341.24204532942</v>
      </c>
    </row>
    <row r="17" spans="1:9" x14ac:dyDescent="0.25">
      <c r="A17">
        <f t="shared" si="8"/>
        <v>10</v>
      </c>
      <c r="B17" s="1">
        <f t="shared" si="0"/>
        <v>4800000</v>
      </c>
      <c r="C17" s="1">
        <f t="shared" si="1"/>
        <v>3872000.0000000005</v>
      </c>
      <c r="D17" s="1">
        <f t="shared" si="2"/>
        <v>3186860.3793751034</v>
      </c>
      <c r="E17" s="1">
        <f t="shared" si="3"/>
        <v>11858860.379375104</v>
      </c>
      <c r="F17" s="1">
        <f t="shared" si="4"/>
        <v>4572104.0395498192</v>
      </c>
      <c r="G17" s="1">
        <f t="shared" si="5"/>
        <v>1850607.7892617511</v>
      </c>
      <c r="H17" s="1">
        <f t="shared" si="6"/>
        <v>1492823.6166711461</v>
      </c>
      <c r="I17" s="1">
        <f t="shared" si="7"/>
        <v>1228672.633616922</v>
      </c>
    </row>
    <row r="18" spans="1:9" x14ac:dyDescent="0.25">
      <c r="A18">
        <f t="shared" ref="A18:A23" si="9">A17+1</f>
        <v>11</v>
      </c>
      <c r="B18" s="1">
        <f t="shared" si="0"/>
        <v>5280000</v>
      </c>
      <c r="C18" s="1">
        <f t="shared" ref="C18:C23" si="10">$B$1*$B$4*(A18*12*(A18*12+1)/2)</f>
        <v>4681600</v>
      </c>
      <c r="D18" s="1">
        <f t="shared" ref="D18:D23" si="11">(FV($B$4,A18*12,-$B$1,0,1)-B18)-C18</f>
        <v>4463898.9500776064</v>
      </c>
      <c r="E18" s="1">
        <f t="shared" ref="E18:E23" si="12">B18+D18+C18</f>
        <v>14425498.950077606</v>
      </c>
      <c r="F18" s="1">
        <f t="shared" ref="F18:F23" si="13">E18/(1+$B$3)^A18</f>
        <v>5056049.3789774291</v>
      </c>
      <c r="G18" s="1">
        <f t="shared" si="5"/>
        <v>1850607.7892617509</v>
      </c>
      <c r="H18" s="1">
        <f t="shared" ref="H18:H38" si="14">C18/(1+$B$3)^A18</f>
        <v>1640872.2398120856</v>
      </c>
      <c r="I18" s="1">
        <f t="shared" ref="I18:I38" si="15">D18/(1+$B$3)^A18</f>
        <v>1564569.3499035928</v>
      </c>
    </row>
    <row r="19" spans="1:9" x14ac:dyDescent="0.25">
      <c r="A19">
        <f t="shared" si="9"/>
        <v>12</v>
      </c>
      <c r="B19" s="1">
        <f t="shared" si="0"/>
        <v>5760000</v>
      </c>
      <c r="C19" s="1">
        <f t="shared" si="10"/>
        <v>5568000</v>
      </c>
      <c r="D19" s="1">
        <f t="shared" si="11"/>
        <v>6106294.3961970545</v>
      </c>
      <c r="E19" s="1">
        <f t="shared" si="12"/>
        <v>17434294.396197055</v>
      </c>
      <c r="F19" s="1">
        <f t="shared" si="13"/>
        <v>5555103.4796633543</v>
      </c>
      <c r="G19" s="1">
        <f t="shared" si="5"/>
        <v>1835313.5100116536</v>
      </c>
      <c r="H19" s="1">
        <f t="shared" si="14"/>
        <v>1774136.3930112652</v>
      </c>
      <c r="I19" s="1">
        <f t="shared" si="15"/>
        <v>1945653.5766404355</v>
      </c>
    </row>
    <row r="20" spans="1:9" x14ac:dyDescent="0.25">
      <c r="A20">
        <f t="shared" si="9"/>
        <v>13</v>
      </c>
      <c r="B20" s="1">
        <f t="shared" si="0"/>
        <v>6240000</v>
      </c>
      <c r="C20" s="1">
        <f t="shared" si="10"/>
        <v>6531200</v>
      </c>
      <c r="D20" s="1">
        <f t="shared" si="11"/>
        <v>8190217.4356171712</v>
      </c>
      <c r="E20" s="1">
        <f t="shared" si="12"/>
        <v>20961417.435617171</v>
      </c>
      <c r="F20" s="1">
        <f t="shared" si="13"/>
        <v>6071775.9798898399</v>
      </c>
      <c r="G20" s="1">
        <f t="shared" si="5"/>
        <v>1807505.7295569316</v>
      </c>
      <c r="H20" s="1">
        <f t="shared" si="14"/>
        <v>1891855.9969362551</v>
      </c>
      <c r="I20" s="1">
        <f t="shared" si="15"/>
        <v>2372414.2533966536</v>
      </c>
    </row>
    <row r="21" spans="1:9" x14ac:dyDescent="0.25">
      <c r="A21">
        <f t="shared" si="9"/>
        <v>14</v>
      </c>
      <c r="B21" s="1">
        <f t="shared" si="0"/>
        <v>6720000</v>
      </c>
      <c r="C21" s="1">
        <f t="shared" si="10"/>
        <v>7571200.0000000009</v>
      </c>
      <c r="D21" s="1">
        <f t="shared" si="11"/>
        <v>10804960.776595473</v>
      </c>
      <c r="E21" s="1">
        <f t="shared" si="12"/>
        <v>25096160.776595473</v>
      </c>
      <c r="F21" s="1">
        <f t="shared" si="13"/>
        <v>6608603.4955679262</v>
      </c>
      <c r="G21" s="1">
        <f t="shared" si="5"/>
        <v>1769586.028936856</v>
      </c>
      <c r="H21" s="1">
        <f t="shared" si="14"/>
        <v>1993733.5926021913</v>
      </c>
      <c r="I21" s="1">
        <f t="shared" si="15"/>
        <v>2845283.8740288792</v>
      </c>
    </row>
    <row r="22" spans="1:9" x14ac:dyDescent="0.25">
      <c r="A22">
        <f t="shared" si="9"/>
        <v>15</v>
      </c>
      <c r="B22" s="1">
        <f t="shared" si="0"/>
        <v>7200000</v>
      </c>
      <c r="C22" s="1">
        <f t="shared" si="10"/>
        <v>8688000</v>
      </c>
      <c r="D22" s="1">
        <f t="shared" si="11"/>
        <v>14055199.653519683</v>
      </c>
      <c r="E22" s="1">
        <f t="shared" si="12"/>
        <v>29943199.653519683</v>
      </c>
      <c r="F22" s="1">
        <f t="shared" si="13"/>
        <v>7168163.9297261005</v>
      </c>
      <c r="G22" s="1">
        <f t="shared" si="5"/>
        <v>1723622.7554579764</v>
      </c>
      <c r="H22" s="1">
        <f t="shared" si="14"/>
        <v>2079838.1249192916</v>
      </c>
      <c r="I22" s="1">
        <f t="shared" si="15"/>
        <v>3364703.0493488321</v>
      </c>
    </row>
    <row r="23" spans="1:9" x14ac:dyDescent="0.25">
      <c r="A23">
        <f t="shared" si="9"/>
        <v>16</v>
      </c>
      <c r="B23" s="1">
        <f t="shared" si="0"/>
        <v>7680000</v>
      </c>
      <c r="C23" s="1">
        <f t="shared" si="10"/>
        <v>9881600</v>
      </c>
      <c r="D23" s="1">
        <f t="shared" si="11"/>
        <v>18063641.786963433</v>
      </c>
      <c r="E23" s="1">
        <f t="shared" si="12"/>
        <v>35625241.786963433</v>
      </c>
      <c r="F23" s="1">
        <f t="shared" si="13"/>
        <v>7753090.5824119393</v>
      </c>
      <c r="G23" s="1">
        <f t="shared" si="5"/>
        <v>1671391.7628683408</v>
      </c>
      <c r="H23" s="1">
        <f t="shared" si="14"/>
        <v>2150524.0682239318</v>
      </c>
      <c r="I23" s="1">
        <f t="shared" si="15"/>
        <v>3931174.7513196664</v>
      </c>
    </row>
    <row r="24" spans="1:9" x14ac:dyDescent="0.25">
      <c r="A24">
        <f t="shared" ref="A24:A38" si="16">A23+1</f>
        <v>17</v>
      </c>
      <c r="B24" s="1">
        <f t="shared" si="0"/>
        <v>8160000</v>
      </c>
      <c r="C24" s="1">
        <f t="shared" ref="C24:C38" si="17">$B$1*$B$4*(A24*12*(A24*12+1)/2)</f>
        <v>11152000</v>
      </c>
      <c r="D24" s="1">
        <f t="shared" ref="D24:D38" si="18">(FV($B$4,A24*12,-$B$1,0,1)-B24)-C24</f>
        <v>22974133.854476117</v>
      </c>
      <c r="E24" s="1">
        <f t="shared" ref="E24:E38" si="19">B24+D24+C24</f>
        <v>42286133.854476117</v>
      </c>
      <c r="F24" s="1">
        <f t="shared" ref="F24:F38" si="20">E24/(1+$B$3)^A24</f>
        <v>8366086.1515056184</v>
      </c>
      <c r="G24" s="1">
        <f t="shared" si="5"/>
        <v>1614412.4982251017</v>
      </c>
      <c r="H24" s="1">
        <f t="shared" si="14"/>
        <v>2206363.7475743056</v>
      </c>
      <c r="I24" s="1">
        <f t="shared" si="15"/>
        <v>4545309.9057062101</v>
      </c>
    </row>
    <row r="25" spans="1:9" x14ac:dyDescent="0.25">
      <c r="A25">
        <f t="shared" si="16"/>
        <v>18</v>
      </c>
      <c r="B25" s="1">
        <f t="shared" si="0"/>
        <v>8640000</v>
      </c>
      <c r="C25" s="1">
        <f t="shared" si="17"/>
        <v>12499200</v>
      </c>
      <c r="D25" s="1">
        <f t="shared" si="18"/>
        <v>28955303.115575433</v>
      </c>
      <c r="E25" s="1">
        <f t="shared" si="19"/>
        <v>50094503.115575433</v>
      </c>
      <c r="F25" s="1">
        <f t="shared" si="20"/>
        <v>9009936.7114707306</v>
      </c>
      <c r="G25" s="1">
        <f t="shared" si="5"/>
        <v>1553979.9448156059</v>
      </c>
      <c r="H25" s="1">
        <f t="shared" si="14"/>
        <v>2248090.9868332432</v>
      </c>
      <c r="I25" s="1">
        <f t="shared" si="15"/>
        <v>5207865.7798218811</v>
      </c>
    </row>
    <row r="26" spans="1:9" x14ac:dyDescent="0.25">
      <c r="A26">
        <f t="shared" si="16"/>
        <v>19</v>
      </c>
      <c r="B26" s="1">
        <f t="shared" si="0"/>
        <v>9120000</v>
      </c>
      <c r="C26" s="1">
        <f t="shared" si="17"/>
        <v>13923200.000000002</v>
      </c>
      <c r="D26" s="1">
        <f t="shared" si="18"/>
        <v>36204826.382384405</v>
      </c>
      <c r="E26" s="1">
        <f t="shared" si="19"/>
        <v>59248026.382384405</v>
      </c>
      <c r="F26" s="1">
        <f t="shared" si="20"/>
        <v>9687525.7542225644</v>
      </c>
      <c r="G26" s="1">
        <f t="shared" si="5"/>
        <v>1491192.8763382074</v>
      </c>
      <c r="H26" s="1">
        <f t="shared" si="14"/>
        <v>2276554.4578763302</v>
      </c>
      <c r="I26" s="1">
        <f t="shared" si="15"/>
        <v>5919778.4200080279</v>
      </c>
    </row>
    <row r="27" spans="1:9" x14ac:dyDescent="0.25">
      <c r="A27">
        <f t="shared" si="16"/>
        <v>20</v>
      </c>
      <c r="B27" s="1">
        <f t="shared" si="0"/>
        <v>9600000</v>
      </c>
      <c r="C27" s="1">
        <f t="shared" si="17"/>
        <v>15424000.000000002</v>
      </c>
      <c r="D27" s="1">
        <f t="shared" si="18"/>
        <v>44954434.409247771</v>
      </c>
      <c r="E27" s="1">
        <f t="shared" si="19"/>
        <v>69978434.409247771</v>
      </c>
      <c r="F27" s="1">
        <f t="shared" si="20"/>
        <v>10401848.374040149</v>
      </c>
      <c r="G27" s="1">
        <f t="shared" si="5"/>
        <v>1426978.8290317776</v>
      </c>
      <c r="H27" s="1">
        <f t="shared" si="14"/>
        <v>2292679.3186443895</v>
      </c>
      <c r="I27" s="1">
        <f t="shared" si="15"/>
        <v>6682190.2263639821</v>
      </c>
    </row>
    <row r="28" spans="1:9" x14ac:dyDescent="0.25">
      <c r="A28">
        <f t="shared" si="16"/>
        <v>21</v>
      </c>
      <c r="B28" s="1">
        <f t="shared" si="0"/>
        <v>10080000</v>
      </c>
      <c r="C28" s="1">
        <f t="shared" si="17"/>
        <v>17001600</v>
      </c>
      <c r="D28" s="1">
        <f t="shared" si="18"/>
        <v>55475778.392542347</v>
      </c>
      <c r="E28" s="1">
        <f t="shared" si="19"/>
        <v>82557378.392542347</v>
      </c>
      <c r="F28" s="1">
        <f t="shared" si="20"/>
        <v>11156025.676754113</v>
      </c>
      <c r="G28" s="1">
        <f t="shared" si="5"/>
        <v>1362116.1549848784</v>
      </c>
      <c r="H28" s="1">
        <f t="shared" si="14"/>
        <v>2297435.9147411613</v>
      </c>
      <c r="I28" s="1">
        <f t="shared" si="15"/>
        <v>7496473.6070280727</v>
      </c>
    </row>
    <row r="29" spans="1:9" x14ac:dyDescent="0.25">
      <c r="A29">
        <f t="shared" si="16"/>
        <v>22</v>
      </c>
      <c r="B29" s="1">
        <f t="shared" si="0"/>
        <v>10560000</v>
      </c>
      <c r="C29" s="1">
        <f t="shared" si="17"/>
        <v>18656000</v>
      </c>
      <c r="D29" s="1">
        <f t="shared" si="18"/>
        <v>68087307.097092748</v>
      </c>
      <c r="E29" s="1">
        <f t="shared" si="19"/>
        <v>97303307.097092748</v>
      </c>
      <c r="F29" s="1">
        <f t="shared" si="20"/>
        <v>11953319.492280373</v>
      </c>
      <c r="G29" s="1">
        <f t="shared" si="5"/>
        <v>1297253.4809379792</v>
      </c>
      <c r="H29" s="1">
        <f t="shared" si="14"/>
        <v>2291814.4829904297</v>
      </c>
      <c r="I29" s="1">
        <f t="shared" si="15"/>
        <v>8364251.5283519644</v>
      </c>
    </row>
    <row r="30" spans="1:9" x14ac:dyDescent="0.25">
      <c r="A30">
        <f t="shared" si="16"/>
        <v>23</v>
      </c>
      <c r="B30" s="1">
        <f t="shared" si="0"/>
        <v>11040000</v>
      </c>
      <c r="C30" s="1">
        <f t="shared" si="17"/>
        <v>20387200</v>
      </c>
      <c r="D30" s="1">
        <f t="shared" si="18"/>
        <v>83162328.710644573</v>
      </c>
      <c r="E30" s="1">
        <f t="shared" si="19"/>
        <v>114589528.71064457</v>
      </c>
      <c r="F30" s="1">
        <f t="shared" si="20"/>
        <v>12797147.46891582</v>
      </c>
      <c r="G30" s="1">
        <f t="shared" si="5"/>
        <v>1232926.8620484925</v>
      </c>
      <c r="H30" s="1">
        <f t="shared" si="14"/>
        <v>2276804.9385828828</v>
      </c>
      <c r="I30" s="1">
        <f t="shared" si="15"/>
        <v>9287415.6682844441</v>
      </c>
    </row>
    <row r="31" spans="1:9" x14ac:dyDescent="0.25">
      <c r="A31">
        <f t="shared" si="16"/>
        <v>24</v>
      </c>
      <c r="B31" s="1">
        <f t="shared" si="0"/>
        <v>11520000</v>
      </c>
      <c r="C31" s="1">
        <f t="shared" si="17"/>
        <v>22195200</v>
      </c>
      <c r="D31" s="1">
        <f t="shared" si="18"/>
        <v>101138461.52044281</v>
      </c>
      <c r="E31" s="1">
        <f t="shared" si="19"/>
        <v>134853661.52044281</v>
      </c>
      <c r="F31" s="1">
        <f t="shared" si="20"/>
        <v>13691098.627647325</v>
      </c>
      <c r="G31" s="1">
        <f t="shared" si="5"/>
        <v>1169574.8888997559</v>
      </c>
      <c r="H31" s="1">
        <f t="shared" si="14"/>
        <v>2253380.9526135297</v>
      </c>
      <c r="I31" s="1">
        <f t="shared" si="15"/>
        <v>10268142.78613404</v>
      </c>
    </row>
    <row r="32" spans="1:9" x14ac:dyDescent="0.25">
      <c r="A32">
        <f t="shared" si="16"/>
        <v>25</v>
      </c>
      <c r="B32" s="1">
        <f t="shared" si="0"/>
        <v>12000000</v>
      </c>
      <c r="C32" s="1">
        <f t="shared" si="17"/>
        <v>24080000</v>
      </c>
      <c r="D32" s="1">
        <f t="shared" si="18"/>
        <v>122528712.66540888</v>
      </c>
      <c r="E32" s="1">
        <f t="shared" si="19"/>
        <v>158608712.66540888</v>
      </c>
      <c r="F32" s="1">
        <f t="shared" si="20"/>
        <v>14638949.455033055</v>
      </c>
      <c r="G32" s="1">
        <f t="shared" si="5"/>
        <v>1107551.9781247687</v>
      </c>
      <c r="H32" s="1">
        <f t="shared" si="14"/>
        <v>2222487.6361037022</v>
      </c>
      <c r="I32" s="1">
        <f t="shared" si="15"/>
        <v>11308909.840804582</v>
      </c>
    </row>
    <row r="33" spans="1:9" x14ac:dyDescent="0.25">
      <c r="A33">
        <f t="shared" si="16"/>
        <v>26</v>
      </c>
      <c r="B33" s="1">
        <f t="shared" si="0"/>
        <v>12480000</v>
      </c>
      <c r="C33" s="1">
        <f t="shared" si="17"/>
        <v>26041600</v>
      </c>
      <c r="D33" s="1">
        <f t="shared" si="18"/>
        <v>147934465.43379873</v>
      </c>
      <c r="E33" s="1">
        <f t="shared" si="19"/>
        <v>186456065.43379873</v>
      </c>
      <c r="F33" s="1">
        <f t="shared" si="20"/>
        <v>15644680.613982202</v>
      </c>
      <c r="G33" s="1">
        <f t="shared" si="5"/>
        <v>1047140.0520452358</v>
      </c>
      <c r="H33" s="1">
        <f t="shared" si="14"/>
        <v>2185032.2419343921</v>
      </c>
      <c r="I33" s="1">
        <f t="shared" si="15"/>
        <v>12412508.320002574</v>
      </c>
    </row>
    <row r="34" spans="1:9" x14ac:dyDescent="0.25">
      <c r="A34">
        <f t="shared" si="16"/>
        <v>27</v>
      </c>
      <c r="B34" s="1">
        <f t="shared" si="0"/>
        <v>12960000</v>
      </c>
      <c r="C34" s="1">
        <f t="shared" si="17"/>
        <v>28080000.000000004</v>
      </c>
      <c r="D34" s="1">
        <f t="shared" si="18"/>
        <v>178060703.89299563</v>
      </c>
      <c r="E34" s="1">
        <f t="shared" si="19"/>
        <v>219100703.89299563</v>
      </c>
      <c r="F34" s="1">
        <f t="shared" si="20"/>
        <v>16712494.352976339</v>
      </c>
      <c r="G34" s="1">
        <f t="shared" si="5"/>
        <v>988558.79039235529</v>
      </c>
      <c r="H34" s="1">
        <f t="shared" si="14"/>
        <v>2141877.3791834367</v>
      </c>
      <c r="I34" s="1">
        <f t="shared" si="15"/>
        <v>13582058.183400547</v>
      </c>
    </row>
    <row r="35" spans="1:9" x14ac:dyDescent="0.25">
      <c r="A35">
        <f t="shared" si="16"/>
        <v>28</v>
      </c>
      <c r="B35" s="1">
        <f t="shared" si="0"/>
        <v>13440000</v>
      </c>
      <c r="C35" s="1">
        <f t="shared" si="17"/>
        <v>30195200.000000004</v>
      </c>
      <c r="D35" s="1">
        <f t="shared" si="18"/>
        <v>213733860.27843085</v>
      </c>
      <c r="E35" s="1">
        <f t="shared" si="19"/>
        <v>257369060.27843085</v>
      </c>
      <c r="F35" s="1">
        <f t="shared" si="20"/>
        <v>17846832.695935942</v>
      </c>
      <c r="G35" s="1">
        <f t="shared" si="5"/>
        <v>931974.6172049141</v>
      </c>
      <c r="H35" s="1">
        <f t="shared" si="14"/>
        <v>2093836.3066537073</v>
      </c>
      <c r="I35" s="1">
        <f t="shared" si="15"/>
        <v>14821021.77207732</v>
      </c>
    </row>
    <row r="36" spans="1:9" x14ac:dyDescent="0.25">
      <c r="A36">
        <f t="shared" si="16"/>
        <v>29</v>
      </c>
      <c r="B36" s="1">
        <f t="shared" si="0"/>
        <v>13920000</v>
      </c>
      <c r="C36" s="1">
        <f t="shared" si="17"/>
        <v>32387200.000000004</v>
      </c>
      <c r="D36" s="1">
        <f t="shared" si="18"/>
        <v>255922736.96644014</v>
      </c>
      <c r="E36" s="1">
        <f t="shared" si="19"/>
        <v>302229936.96644014</v>
      </c>
      <c r="F36" s="1">
        <f t="shared" si="20"/>
        <v>19052396.497034859</v>
      </c>
      <c r="G36" s="1">
        <f t="shared" si="5"/>
        <v>877508.56814748398</v>
      </c>
      <c r="H36" s="1">
        <f t="shared" si="14"/>
        <v>2041669.9352231463</v>
      </c>
      <c r="I36" s="1">
        <f t="shared" si="15"/>
        <v>16133217.993664229</v>
      </c>
    </row>
    <row r="37" spans="1:9" x14ac:dyDescent="0.25">
      <c r="A37">
        <f t="shared" si="16"/>
        <v>30</v>
      </c>
      <c r="B37" s="1">
        <f t="shared" si="0"/>
        <v>14400000</v>
      </c>
      <c r="C37" s="1">
        <f t="shared" si="17"/>
        <v>34656000</v>
      </c>
      <c r="D37" s="1">
        <f t="shared" si="18"/>
        <v>305763032.69208592</v>
      </c>
      <c r="E37" s="1">
        <f t="shared" si="19"/>
        <v>354819032.69208592</v>
      </c>
      <c r="F37" s="1">
        <f t="shared" si="20"/>
        <v>20334165.447303265</v>
      </c>
      <c r="G37" s="1">
        <f t="shared" si="5"/>
        <v>825243.16753681866</v>
      </c>
      <c r="H37" s="1">
        <f t="shared" si="14"/>
        <v>1986085.223205277</v>
      </c>
      <c r="I37" s="1">
        <f t="shared" si="15"/>
        <v>17522837.056561168</v>
      </c>
    </row>
    <row r="38" spans="1:9" x14ac:dyDescent="0.25">
      <c r="A38">
        <f t="shared" si="16"/>
        <v>31</v>
      </c>
      <c r="B38" s="1">
        <f t="shared" si="0"/>
        <v>14880000</v>
      </c>
      <c r="C38" s="1">
        <f t="shared" si="17"/>
        <v>37001600</v>
      </c>
      <c r="D38" s="1">
        <f t="shared" si="18"/>
        <v>364586093.91810107</v>
      </c>
      <c r="E38" s="1">
        <f t="shared" si="19"/>
        <v>416467693.91810107</v>
      </c>
      <c r="F38" s="1">
        <f t="shared" si="20"/>
        <v>21697419.122836363</v>
      </c>
      <c r="G38" s="1">
        <f t="shared" si="5"/>
        <v>775228.43011034478</v>
      </c>
      <c r="H38" s="1">
        <f t="shared" si="14"/>
        <v>1927734.696207724</v>
      </c>
      <c r="I38" s="1">
        <f t="shared" si="15"/>
        <v>18994455.996518295</v>
      </c>
    </row>
    <row r="39" spans="1:9" x14ac:dyDescent="0.25">
      <c r="A39">
        <f t="shared" ref="A39:A50" si="21">A38+1</f>
        <v>32</v>
      </c>
      <c r="B39" s="1">
        <f t="shared" si="0"/>
        <v>15360000</v>
      </c>
      <c r="C39" s="1">
        <f t="shared" ref="C39:C50" si="22">$B$1*$B$4*(A39*12*(A39*12+1)/2)</f>
        <v>39424000</v>
      </c>
      <c r="D39" s="1">
        <f t="shared" ref="D39:D50" si="23">(FV($B$4,A39*12,-$B$1,0,1)-B39)-C39</f>
        <v>433952619.22511297</v>
      </c>
      <c r="E39" s="1">
        <f t="shared" ref="E39:E50" si="24">B39+D39+C39</f>
        <v>488736619.22511297</v>
      </c>
      <c r="F39" s="1">
        <f t="shared" ref="F39:F50" si="25">E39/(1+$B$3)^A39</f>
        <v>23147759.167847123</v>
      </c>
      <c r="G39" s="1">
        <f t="shared" ref="G39:G50" si="26">B39/(1+$B$3)^A39</f>
        <v>727487.0898396197</v>
      </c>
      <c r="H39" s="1">
        <f t="shared" ref="H39:H50" si="27">C39/(1+$B$3)^A39</f>
        <v>1867216.8639216907</v>
      </c>
      <c r="I39" s="1">
        <f t="shared" ref="I39:I50" si="28">D39/(1+$B$3)^A39</f>
        <v>20553055.21408581</v>
      </c>
    </row>
    <row r="40" spans="1:9" x14ac:dyDescent="0.25">
      <c r="A40">
        <f t="shared" si="21"/>
        <v>33</v>
      </c>
      <c r="B40" s="1">
        <f t="shared" si="0"/>
        <v>15840000</v>
      </c>
      <c r="C40" s="1">
        <f t="shared" si="22"/>
        <v>41923200</v>
      </c>
      <c r="D40" s="1">
        <f t="shared" si="23"/>
        <v>515692169.98407507</v>
      </c>
      <c r="E40" s="1">
        <f t="shared" si="24"/>
        <v>573455369.98407507</v>
      </c>
      <c r="F40" s="1">
        <f t="shared" si="25"/>
        <v>24691132.709671944</v>
      </c>
      <c r="G40" s="1">
        <f t="shared" si="26"/>
        <v>682019.14672464342</v>
      </c>
      <c r="H40" s="1">
        <f t="shared" si="27"/>
        <v>1805077.3416645562</v>
      </c>
      <c r="I40" s="1">
        <f t="shared" si="28"/>
        <v>22204036.221282743</v>
      </c>
    </row>
    <row r="41" spans="1:9" x14ac:dyDescent="0.25">
      <c r="A41">
        <f t="shared" si="21"/>
        <v>34</v>
      </c>
      <c r="B41" s="1">
        <f t="shared" si="0"/>
        <v>16320000</v>
      </c>
      <c r="C41" s="1">
        <f t="shared" si="22"/>
        <v>44499200</v>
      </c>
      <c r="D41" s="1">
        <f t="shared" si="23"/>
        <v>611949487.5637784</v>
      </c>
      <c r="E41" s="1">
        <f t="shared" si="24"/>
        <v>672768687.5637784</v>
      </c>
      <c r="F41" s="1">
        <f t="shared" si="25"/>
        <v>26333857.107168637</v>
      </c>
      <c r="G41" s="1">
        <f t="shared" si="26"/>
        <v>638805.81235917006</v>
      </c>
      <c r="H41" s="1">
        <f t="shared" si="27"/>
        <v>1741810.5150326705</v>
      </c>
      <c r="I41" s="1">
        <f t="shared" si="28"/>
        <v>23953240.779776797</v>
      </c>
    </row>
    <row r="42" spans="1:9" x14ac:dyDescent="0.25">
      <c r="A42">
        <f t="shared" si="21"/>
        <v>35</v>
      </c>
      <c r="B42" s="1">
        <f t="shared" si="0"/>
        <v>16800000</v>
      </c>
      <c r="C42" s="1">
        <f t="shared" si="22"/>
        <v>47152000</v>
      </c>
      <c r="D42" s="1">
        <f t="shared" si="23"/>
        <v>725238789.64067435</v>
      </c>
      <c r="E42" s="1">
        <f t="shared" si="24"/>
        <v>789190789.64067435</v>
      </c>
      <c r="F42" s="1">
        <f t="shared" si="25"/>
        <v>28082646.138746984</v>
      </c>
      <c r="G42" s="1">
        <f t="shared" si="26"/>
        <v>597812.92600457091</v>
      </c>
      <c r="H42" s="1">
        <f t="shared" si="27"/>
        <v>1677861.6123194955</v>
      </c>
      <c r="I42" s="1">
        <f t="shared" si="28"/>
        <v>25806971.600422915</v>
      </c>
    </row>
    <row r="43" spans="1:9" x14ac:dyDescent="0.25">
      <c r="A43">
        <f t="shared" si="21"/>
        <v>36</v>
      </c>
      <c r="B43" s="1">
        <f t="shared" si="0"/>
        <v>17280000</v>
      </c>
      <c r="C43" s="1">
        <f t="shared" si="22"/>
        <v>49881600</v>
      </c>
      <c r="D43" s="1">
        <f t="shared" si="23"/>
        <v>858507420.17733383</v>
      </c>
      <c r="E43" s="1">
        <f t="shared" si="24"/>
        <v>925669020.17733383</v>
      </c>
      <c r="F43" s="1">
        <f t="shared" si="25"/>
        <v>29944637.741558231</v>
      </c>
      <c r="G43" s="1">
        <f t="shared" si="26"/>
        <v>558993.9048354429</v>
      </c>
      <c r="H43" s="1">
        <f t="shared" si="27"/>
        <v>1613629.0719583118</v>
      </c>
      <c r="I43" s="1">
        <f t="shared" si="28"/>
        <v>27772014.764764477</v>
      </c>
    </row>
    <row r="44" spans="1:9" x14ac:dyDescent="0.25">
      <c r="A44">
        <f t="shared" si="21"/>
        <v>37</v>
      </c>
      <c r="B44" s="1">
        <f t="shared" si="0"/>
        <v>17760000</v>
      </c>
      <c r="C44" s="1">
        <f t="shared" si="22"/>
        <v>52688000.000000007</v>
      </c>
      <c r="D44" s="1">
        <f t="shared" si="23"/>
        <v>1015210464.4335027</v>
      </c>
      <c r="E44" s="1">
        <f t="shared" si="24"/>
        <v>1085658464.4335027</v>
      </c>
      <c r="F44" s="1">
        <f t="shared" si="25"/>
        <v>31927423.419156905</v>
      </c>
      <c r="G44" s="1">
        <f t="shared" si="26"/>
        <v>522292.2848209946</v>
      </c>
      <c r="H44" s="1">
        <f t="shared" si="27"/>
        <v>1549467.1116356174</v>
      </c>
      <c r="I44" s="1">
        <f t="shared" si="28"/>
        <v>29855664.022700291</v>
      </c>
    </row>
    <row r="45" spans="1:9" x14ac:dyDescent="0.25">
      <c r="A45">
        <f t="shared" si="21"/>
        <v>38</v>
      </c>
      <c r="B45" s="1">
        <f t="shared" si="0"/>
        <v>18240000</v>
      </c>
      <c r="C45" s="1">
        <f t="shared" si="22"/>
        <v>55571200.000000007</v>
      </c>
      <c r="D45" s="1">
        <f t="shared" si="23"/>
        <v>1199398217.9646759</v>
      </c>
      <c r="E45" s="1">
        <f t="shared" si="24"/>
        <v>1273209417.9646759</v>
      </c>
      <c r="F45" s="1">
        <f t="shared" si="25"/>
        <v>34039079.441256098</v>
      </c>
      <c r="G45" s="1">
        <f t="shared" si="26"/>
        <v>487643.902289872</v>
      </c>
      <c r="H45" s="1">
        <f t="shared" si="27"/>
        <v>1485688.4223098103</v>
      </c>
      <c r="I45" s="1">
        <f t="shared" si="28"/>
        <v>32065747.116656415</v>
      </c>
    </row>
    <row r="46" spans="1:9" x14ac:dyDescent="0.25">
      <c r="A46">
        <f t="shared" si="21"/>
        <v>39</v>
      </c>
      <c r="B46" s="1">
        <f t="shared" si="0"/>
        <v>18720000</v>
      </c>
      <c r="C46" s="1">
        <f t="shared" si="22"/>
        <v>58531200.000000007</v>
      </c>
      <c r="D46" s="1">
        <f t="shared" si="23"/>
        <v>1415818723.9748781</v>
      </c>
      <c r="E46" s="1">
        <f t="shared" si="24"/>
        <v>1493069923.9748781</v>
      </c>
      <c r="F46" s="1">
        <f t="shared" si="25"/>
        <v>36288199.966046251</v>
      </c>
      <c r="G46" s="1">
        <f t="shared" si="26"/>
        <v>454978.76050968916</v>
      </c>
      <c r="H46" s="1">
        <f t="shared" si="27"/>
        <v>1422566.9245269618</v>
      </c>
      <c r="I46" s="1">
        <f t="shared" si="28"/>
        <v>34410654.2810096</v>
      </c>
    </row>
    <row r="47" spans="1:9" x14ac:dyDescent="0.25">
      <c r="A47">
        <f t="shared" si="21"/>
        <v>40</v>
      </c>
      <c r="B47" s="1">
        <f t="shared" si="0"/>
        <v>19200000</v>
      </c>
      <c r="C47" s="1">
        <f t="shared" si="22"/>
        <v>61568000.000000007</v>
      </c>
      <c r="D47" s="1">
        <f t="shared" si="23"/>
        <v>1670037974.861058</v>
      </c>
      <c r="E47" s="1">
        <f t="shared" si="24"/>
        <v>1750805974.861058</v>
      </c>
      <c r="F47" s="1">
        <f t="shared" si="25"/>
        <v>38683932.222962424</v>
      </c>
      <c r="G47" s="1">
        <f t="shared" si="26"/>
        <v>424222.62052185478</v>
      </c>
      <c r="H47" s="1">
        <f t="shared" si="27"/>
        <v>1360340.5364734144</v>
      </c>
      <c r="I47" s="1">
        <f t="shared" si="28"/>
        <v>36899369.065967157</v>
      </c>
    </row>
    <row r="48" spans="1:9" x14ac:dyDescent="0.25">
      <c r="A48">
        <f t="shared" si="21"/>
        <v>41</v>
      </c>
      <c r="B48" s="1">
        <f t="shared" si="0"/>
        <v>19680000</v>
      </c>
      <c r="C48" s="1">
        <f t="shared" si="22"/>
        <v>64681600.000000007</v>
      </c>
      <c r="D48" s="1">
        <f t="shared" si="23"/>
        <v>1968580820.9734912</v>
      </c>
      <c r="E48" s="1">
        <f t="shared" si="24"/>
        <v>2052942420.9734912</v>
      </c>
      <c r="F48" s="1">
        <f t="shared" si="25"/>
        <v>41236013.901792377</v>
      </c>
      <c r="G48" s="1">
        <f t="shared" si="26"/>
        <v>395298.35094081919</v>
      </c>
      <c r="H48" s="1">
        <f t="shared" si="27"/>
        <v>1299213.9134254926</v>
      </c>
      <c r="I48" s="1">
        <f t="shared" si="28"/>
        <v>39541501.637426071</v>
      </c>
    </row>
    <row r="49" spans="1:9" x14ac:dyDescent="0.25">
      <c r="A49">
        <f t="shared" si="21"/>
        <v>42</v>
      </c>
      <c r="B49" s="1">
        <f t="shared" si="0"/>
        <v>20160000</v>
      </c>
      <c r="C49" s="1">
        <f t="shared" si="22"/>
        <v>67872000</v>
      </c>
      <c r="D49" s="1">
        <f t="shared" si="23"/>
        <v>2319096153.8408132</v>
      </c>
      <c r="E49" s="1">
        <f t="shared" si="24"/>
        <v>2407128153.8408132</v>
      </c>
      <c r="F49" s="1">
        <f t="shared" si="25"/>
        <v>43954812.902646519</v>
      </c>
      <c r="G49" s="1">
        <f t="shared" si="26"/>
        <v>368127.06739499787</v>
      </c>
      <c r="H49" s="1">
        <f t="shared" si="27"/>
        <v>1239361.1268964929</v>
      </c>
      <c r="I49" s="1">
        <f t="shared" si="28"/>
        <v>42347324.708355032</v>
      </c>
    </row>
    <row r="50" spans="1:9" x14ac:dyDescent="0.25">
      <c r="A50">
        <f t="shared" si="21"/>
        <v>43</v>
      </c>
      <c r="B50" s="1">
        <f t="shared" si="0"/>
        <v>20640000</v>
      </c>
      <c r="C50" s="1">
        <f t="shared" si="22"/>
        <v>71139200</v>
      </c>
      <c r="D50" s="1">
        <f t="shared" si="23"/>
        <v>2730550545.6410933</v>
      </c>
      <c r="E50" s="1">
        <f t="shared" si="24"/>
        <v>2822329745.6410933</v>
      </c>
      <c r="F50" s="1">
        <f t="shared" si="25"/>
        <v>46851369.610593691</v>
      </c>
      <c r="G50" s="1">
        <f t="shared" si="26"/>
        <v>342629.08870097197</v>
      </c>
      <c r="H50" s="1">
        <f t="shared" si="27"/>
        <v>1180928.2590560168</v>
      </c>
      <c r="I50" s="1">
        <f t="shared" si="28"/>
        <v>45327812.262836702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Hitby</dc:creator>
  <cp:lastModifiedBy>Me Hitby</cp:lastModifiedBy>
  <dcterms:created xsi:type="dcterms:W3CDTF">2026-03-12T04:31:31Z</dcterms:created>
  <dcterms:modified xsi:type="dcterms:W3CDTF">2026-03-12T17:28:19Z</dcterms:modified>
</cp:coreProperties>
</file>